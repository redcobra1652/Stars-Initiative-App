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Year-by-Year Plan" sheetId="2" state="visible" r:id="rId2"/>
    <sheet xmlns:r="http://schemas.openxmlformats.org/officeDocument/2006/relationships" name="Species Swap Detail" sheetId="3" state="visible" r:id="rId3"/>
    <sheet xmlns:r="http://schemas.openxmlformats.org/officeDocument/2006/relationships" name="Budget Assumptions" sheetId="4" state="visible" r:id="rId4"/>
    <sheet xmlns:r="http://schemas.openxmlformats.org/officeDocument/2006/relationships" name="Cumulativ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5276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F39C12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471A3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166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Milpitas — STARS Score Trajectory (25 Years)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 Metrics'!B2</f>
            </strRef>
          </tx>
          <spPr>
            <a:ln xmlns:a="http://schemas.openxmlformats.org/drawingml/2006/main" w="25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 Metrics'!$A$3:$A$27</f>
            </numRef>
          </cat>
          <val>
            <numRef>
              <f>'Cumulative Metrics'!$B$3:$B$27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Milpitas — Annual Programme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 Metrics'!F2</f>
            </strRef>
          </tx>
          <spPr>
            <a:solidFill xmlns:a="http://schemas.openxmlformats.org/drawingml/2006/main">
              <a:srgbClr val="1A5276"/>
            </a:solidFill>
            <a:ln xmlns:a="http://schemas.openxmlformats.org/drawingml/2006/main">
              <a:prstDash val="solid"/>
            </a:ln>
          </spPr>
          <cat>
            <numRef>
              <f>'Cumulative Metrics'!$A$3:$A$27</f>
            </numRef>
          </cat>
          <val>
            <numRef>
              <f>'Cumulative Metrics'!$F$3:$F$27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20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</cols>
  <sheetData>
    <row r="1" ht="36" customHeight="1">
      <c r="A1" s="1" t="inlineStr">
        <is>
          <t>🌳  Milpitas Urban Forest — 25-Year Action Plan</t>
        </is>
      </c>
    </row>
    <row r="2" ht="16" customHeight="1">
      <c r="A2" s="2" t="inlineStr">
        <is>
          <t>GNN-Optimised · RL Swap Scheduler · Budget: $650,000/yr · Replacement Rate: 60%</t>
        </is>
      </c>
    </row>
    <row r="3"/>
    <row r="4" ht="18" customHeight="1">
      <c r="A4" s="3" t="inlineStr">
        <is>
          <t xml:space="preserve">  KEY PERFORMANCE INDICATORS</t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vs Baseline / Notes</t>
        </is>
      </c>
      <c r="D5" s="4" t="inlineStr"/>
    </row>
    <row r="6">
      <c r="A6" s="5" t="inlineStr">
        <is>
          <t>Current STARS Score</t>
        </is>
      </c>
      <c r="B6" s="6" t="inlineStr">
        <is>
          <t>43.22</t>
        </is>
      </c>
      <c r="C6" s="5" t="inlineStr">
        <is>
          <t>Year 1 starting score</t>
        </is>
      </c>
      <c r="D6" s="5" t="inlineStr"/>
    </row>
    <row r="7">
      <c r="A7" s="7" t="inlineStr">
        <is>
          <t>Projected Year-25 STARS</t>
        </is>
      </c>
      <c r="B7" s="8" t="inlineStr">
        <is>
          <t>65.21</t>
        </is>
      </c>
      <c r="C7" s="7" t="inlineStr">
        <is>
          <t>RL-optimised endpoint</t>
        </is>
      </c>
      <c r="D7" s="7" t="inlineStr"/>
    </row>
    <row r="8">
      <c r="A8" s="5" t="inlineStr">
        <is>
          <t>Total STARS Uplift</t>
        </is>
      </c>
      <c r="B8" s="6" t="inlineStr">
        <is>
          <t>+21.99 pts</t>
        </is>
      </c>
      <c r="C8" s="5" t="inlineStr">
        <is>
          <t>Net improvement</t>
        </is>
      </c>
      <c r="D8" s="5" t="inlineStr"/>
    </row>
    <row r="9">
      <c r="A9" s="7" t="inlineStr">
        <is>
          <t>Total Trees Replaced</t>
        </is>
      </c>
      <c r="B9" s="8" t="inlineStr">
        <is>
          <t>5,994</t>
        </is>
      </c>
      <c r="C9" s="7" t="inlineStr">
        <is>
          <t>Over 25-year horizon</t>
        </is>
      </c>
      <c r="D9" s="7" t="inlineStr"/>
    </row>
    <row r="10">
      <c r="A10" s="5" t="inlineStr">
        <is>
          <t>Total Programme Cost</t>
        </is>
      </c>
      <c r="B10" s="6" t="inlineStr">
        <is>
          <t>$30,621,743</t>
        </is>
      </c>
      <c r="C10" s="5" t="inlineStr">
        <is>
          <t>Removal + planting + maint</t>
        </is>
      </c>
      <c r="D10" s="5" t="inlineStr"/>
    </row>
    <row r="11">
      <c r="A11" s="7" t="inlineStr">
        <is>
          <t>Annual Budget</t>
        </is>
      </c>
      <c r="B11" s="8" t="inlineStr">
        <is>
          <t>$650,000</t>
        </is>
      </c>
      <c r="C11" s="7" t="inlineStr">
        <is>
          <t>Allocated per year</t>
        </is>
      </c>
      <c r="D11" s="7" t="inlineStr"/>
    </row>
    <row r="12">
      <c r="A12" s="5" t="inlineStr">
        <is>
          <t>Species Batches Scheduled</t>
        </is>
      </c>
      <c r="B12" s="6" t="inlineStr">
        <is>
          <t>20</t>
        </is>
      </c>
      <c r="C12" s="5" t="inlineStr">
        <is>
          <t>P4/P5 + over-represented</t>
        </is>
      </c>
      <c r="D12" s="5" t="inlineStr"/>
    </row>
    <row r="13">
      <c r="A13" s="7" t="inlineStr">
        <is>
          <t>Year-25 Avg CO₂ (lbs/tree)</t>
        </is>
      </c>
      <c r="B13" s="8" t="inlineStr">
        <is>
          <t>471.4</t>
        </is>
      </c>
      <c r="C13" s="7" t="inlineStr">
        <is>
          <t>Population-weighted</t>
        </is>
      </c>
      <c r="D13" s="7" t="inlineStr"/>
    </row>
    <row r="14">
      <c r="A14" s="5" t="inlineStr">
        <is>
          <t>Year-25 Avg AQ (lbs/tree)</t>
        </is>
      </c>
      <c r="B14" s="6" t="inlineStr">
        <is>
          <t>21.95</t>
        </is>
      </c>
      <c r="C14" s="5" t="inlineStr">
        <is>
          <t>PM2.5 + O₃ + NO₂</t>
        </is>
      </c>
      <c r="D14" s="5" t="inlineStr"/>
    </row>
    <row r="15">
      <c r="A15" s="7" t="inlineStr">
        <is>
          <t>RL vs Naive Improvement</t>
        </is>
      </c>
      <c r="B15" s="8" t="inlineStr">
        <is>
          <t>+0.083 pts</t>
        </is>
      </c>
      <c r="C15" s="7" t="inlineStr">
        <is>
          <t>Scheduling optimisation gain</t>
        </is>
      </c>
      <c r="D15" s="7" t="inlineStr"/>
    </row>
    <row r="16"/>
    <row r="17"/>
    <row r="18" ht="18" customHeight="1">
      <c r="A18" s="3" t="inlineStr">
        <is>
          <t xml:space="preserve">  PROGRAMME PHASES (Budget Profile)</t>
        </is>
      </c>
    </row>
    <row r="19" ht="22" customHeight="1">
      <c r="A19" s="4" t="inlineStr">
        <is>
          <t>Phase</t>
        </is>
      </c>
      <c r="B19" s="4" t="inlineStr">
        <is>
          <t>Years</t>
        </is>
      </c>
      <c r="C19" s="4" t="inlineStr">
        <is>
          <t>Focus</t>
        </is>
      </c>
      <c r="D19" s="4" t="inlineStr">
        <is>
          <t>Est. Annual Spend</t>
        </is>
      </c>
    </row>
    <row r="20">
      <c r="A20" s="5" t="inlineStr">
        <is>
          <t>Phase 1 — Triage</t>
        </is>
      </c>
      <c r="B20" s="9" t="inlineStr">
        <is>
          <t>Yrs 1–5</t>
        </is>
      </c>
      <c r="C20" s="5" t="inlineStr">
        <is>
          <t>Remove P5 species; plant high-priority natives</t>
        </is>
      </c>
      <c r="D20" s="10" t="inlineStr">
        <is>
          <t>$1,152,147</t>
        </is>
      </c>
    </row>
    <row r="21">
      <c r="A21" s="7" t="inlineStr">
        <is>
          <t>Phase 2 — Transition</t>
        </is>
      </c>
      <c r="B21" s="11" t="inlineStr">
        <is>
          <t>Yrs 6–15</t>
        </is>
      </c>
      <c r="C21" s="7" t="inlineStr">
        <is>
          <t>Reduce P4 species; diversify genus mix; add shade canopy</t>
        </is>
      </c>
      <c r="D21" s="12" t="inlineStr">
        <is>
          <t>$1,226,190</t>
        </is>
      </c>
    </row>
    <row r="22">
      <c r="A22" s="5" t="inlineStr">
        <is>
          <t>Phase 3 — Resilience</t>
        </is>
      </c>
      <c r="B22" s="9" t="inlineStr">
        <is>
          <t>Yrs 16–25</t>
        </is>
      </c>
      <c r="C22" s="5" t="inlineStr">
        <is>
          <t>Fine-tune species balance; climate adaptation; maintenance</t>
        </is>
      </c>
      <c r="D22" s="10" t="inlineStr">
        <is>
          <t>$1,259,910</t>
        </is>
      </c>
    </row>
  </sheetData>
  <mergeCells count="4">
    <mergeCell ref="A1:D1"/>
    <mergeCell ref="A4:D4"/>
    <mergeCell ref="A2:D2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5" customWidth="1" min="17" max="17"/>
  </cols>
  <sheetData>
    <row r="1" ht="18" customHeight="1">
      <c r="A1" s="3" t="inlineStr">
        <is>
          <t xml:space="preserve">  Milpitas  ·  25-Year Urban Forestry Action Plan  ·  Budget: $650,000/yr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STARS Δ</t>
        </is>
      </c>
      <c r="D2" s="13" t="inlineStr">
        <is>
          <t>Avg CO₂
(lbs/tree/yr)</t>
        </is>
      </c>
      <c r="E2" s="13" t="inlineStr">
        <is>
          <t>Avg AQ
(lbs/tree/yr)</t>
        </is>
      </c>
      <c r="F2" s="13" t="inlineStr">
        <is>
          <t>% Swaps
Complete</t>
        </is>
      </c>
      <c r="G2" s="13" t="inlineStr">
        <is>
          <t>Actions
Taken</t>
        </is>
      </c>
      <c r="H2" s="13" t="inlineStr">
        <is>
          <t>Trees
Replaced</t>
        </is>
      </c>
      <c r="I2" s="13" t="inlineStr">
        <is>
          <t>Removal
Cost ($)</t>
        </is>
      </c>
      <c r="J2" s="13" t="inlineStr">
        <is>
          <t>Planting
Cost ($)</t>
        </is>
      </c>
      <c r="K2" s="13" t="inlineStr">
        <is>
          <t>Watering
Cost ($)</t>
        </is>
      </c>
      <c r="L2" s="13" t="inlineStr">
        <is>
          <t>Overhead
($)</t>
        </is>
      </c>
      <c r="M2" s="13" t="inlineStr">
        <is>
          <t>Maint
Cost ($)</t>
        </is>
      </c>
      <c r="N2" s="13" t="inlineStr">
        <is>
          <t>TOTAL
Cost ($)</t>
        </is>
      </c>
      <c r="O2" s="13" t="inlineStr">
        <is>
          <t>Budget
Remaining ($)</t>
        </is>
      </c>
      <c r="P2" s="13" t="inlineStr">
        <is>
          <t>Cumulative
Cost ($)</t>
        </is>
      </c>
      <c r="Q2" s="13" t="inlineStr">
        <is>
          <t>Swap Batches Executed</t>
        </is>
      </c>
    </row>
    <row r="3">
      <c r="A3" s="14" t="n">
        <v>1</v>
      </c>
      <c r="B3" s="15" t="n">
        <v>43.22298270893371</v>
      </c>
      <c r="C3" s="16" t="n">
        <v>1.985704994201662</v>
      </c>
      <c r="D3" s="15" t="n">
        <v>343.1801873198847</v>
      </c>
      <c r="E3" s="15" t="n">
        <v>22.42769272334294</v>
      </c>
      <c r="F3" s="17" t="n">
        <v>0.08378374576568604</v>
      </c>
      <c r="G3" s="14" t="n">
        <v>4</v>
      </c>
      <c r="H3" s="14" t="n">
        <v>270</v>
      </c>
      <c r="I3" s="18" t="n">
        <v>189000</v>
      </c>
      <c r="J3" s="18" t="n">
        <v>108000</v>
      </c>
      <c r="K3" s="18" t="n">
        <v>37800</v>
      </c>
      <c r="L3" s="18" t="n">
        <v>44550</v>
      </c>
      <c r="M3" s="18" t="n">
        <v>888006.9263598977</v>
      </c>
      <c r="N3" s="19" t="n">
        <v>1267356.926359898</v>
      </c>
      <c r="O3" s="18" t="n">
        <v>159655</v>
      </c>
      <c r="P3" s="18" t="n">
        <v>1267356.926359898</v>
      </c>
      <c r="Q3" s="5" t="inlineStr">
        <is>
          <t>PURPLE-LEAFED PLUM; PURPLE-LEAFED PLUM; COAST REDWOOD; COAST REDWOOD</t>
        </is>
      </c>
    </row>
    <row r="4">
      <c r="A4" s="20" t="n">
        <v>2</v>
      </c>
      <c r="B4" s="21" t="n">
        <v>43.42138241201642</v>
      </c>
      <c r="C4" s="22" t="n">
        <v>0.198399703082714</v>
      </c>
      <c r="D4" s="21" t="n">
        <v>343.7511163508282</v>
      </c>
      <c r="E4" s="21" t="n">
        <v>22.53875835079906</v>
      </c>
      <c r="F4" s="23" t="n">
        <v>0.1499999761581421</v>
      </c>
      <c r="G4" s="20" t="n">
        <v>4</v>
      </c>
      <c r="H4" s="20" t="n">
        <v>133</v>
      </c>
      <c r="I4" s="24" t="n">
        <v>93100</v>
      </c>
      <c r="J4" s="24" t="n">
        <v>53200</v>
      </c>
      <c r="K4" s="24" t="n">
        <v>18620</v>
      </c>
      <c r="L4" s="24" t="n">
        <v>21945</v>
      </c>
      <c r="M4" s="24" t="n">
        <v>888006.9263598977</v>
      </c>
      <c r="N4" s="19" t="n">
        <v>1074871.926359898</v>
      </c>
      <c r="O4" s="24" t="n">
        <v>565700</v>
      </c>
      <c r="P4" s="24" t="n">
        <v>2342228.852719795</v>
      </c>
      <c r="Q4" s="7" t="inlineStr">
        <is>
          <t>COAST REDWOOD; PURPLE-LEAFED PLUM; CALIFORNIA SYCAMORE; CALIFORNIA SYCAMORE</t>
        </is>
      </c>
    </row>
    <row r="5">
      <c r="A5" s="14" t="n">
        <v>3</v>
      </c>
      <c r="B5" s="15" t="n">
        <v>43.6451520688739</v>
      </c>
      <c r="C5" s="16" t="n">
        <v>0.2237696568574776</v>
      </c>
      <c r="D5" s="15" t="n">
        <v>344.4497384905815</v>
      </c>
      <c r="E5" s="15" t="n">
        <v>22.40295071898607</v>
      </c>
      <c r="F5" s="17" t="n">
        <v>0.2179166674613953</v>
      </c>
      <c r="G5" s="14" t="n">
        <v>4</v>
      </c>
      <c r="H5" s="14" t="n">
        <v>28</v>
      </c>
      <c r="I5" s="18" t="n">
        <v>19600</v>
      </c>
      <c r="J5" s="18" t="n">
        <v>11200</v>
      </c>
      <c r="K5" s="18" t="n">
        <v>3920</v>
      </c>
      <c r="L5" s="18" t="n">
        <v>4620</v>
      </c>
      <c r="M5" s="18" t="n">
        <v>888006.9263598977</v>
      </c>
      <c r="N5" s="19" t="n">
        <v>927346.9263598977</v>
      </c>
      <c r="O5" s="18" t="n">
        <v>553055</v>
      </c>
      <c r="P5" s="18" t="n">
        <v>3269575.779079693</v>
      </c>
      <c r="Q5" s="5" t="inlineStr">
        <is>
          <t>CALIFORNIA SYCAMORE; BRISBANE BOX; BRISBANE BOX; WHITE ALDER</t>
        </is>
      </c>
    </row>
    <row r="6">
      <c r="A6" s="20" t="n">
        <v>4</v>
      </c>
      <c r="B6" s="21" t="n">
        <v>45.23247766142565</v>
      </c>
      <c r="C6" s="22" t="n">
        <v>1.587325592551757</v>
      </c>
      <c r="D6" s="21" t="n">
        <v>348.6189872858508</v>
      </c>
      <c r="E6" s="21" t="n">
        <v>21.08851793278974</v>
      </c>
      <c r="F6" s="23" t="n">
        <v>0.2672762870788574</v>
      </c>
      <c r="G6" s="20" t="n">
        <v>3</v>
      </c>
      <c r="H6" s="20" t="n">
        <v>47</v>
      </c>
      <c r="I6" s="24" t="n">
        <v>32900</v>
      </c>
      <c r="J6" s="24" t="n">
        <v>18800</v>
      </c>
      <c r="K6" s="24" t="n">
        <v>6580</v>
      </c>
      <c r="L6" s="24" t="n">
        <v>7755</v>
      </c>
      <c r="M6" s="24" t="n">
        <v>888006.9263598977</v>
      </c>
      <c r="N6" s="19" t="n">
        <v>954041.9263598977</v>
      </c>
      <c r="O6" s="24" t="n">
        <v>890</v>
      </c>
      <c r="P6" s="24" t="n">
        <v>4223617.705439591</v>
      </c>
      <c r="Q6" s="7" t="inlineStr">
        <is>
          <t>BRISBANE BOX; MODESTO ASH; MODESTO ASH</t>
        </is>
      </c>
    </row>
    <row r="7">
      <c r="A7" s="14" t="n">
        <v>5</v>
      </c>
      <c r="B7" s="15" t="n">
        <v>45.75804974694689</v>
      </c>
      <c r="C7" s="16" t="n">
        <v>0.5255720855212331</v>
      </c>
      <c r="D7" s="15" t="n">
        <v>353.9676819856676</v>
      </c>
      <c r="E7" s="15" t="n">
        <v>21.31239200454506</v>
      </c>
      <c r="F7" s="17" t="n">
        <v>0.3247957825660706</v>
      </c>
      <c r="G7" s="14" t="n">
        <v>4</v>
      </c>
      <c r="H7" s="14" t="n">
        <v>462</v>
      </c>
      <c r="I7" s="18" t="n">
        <v>323400</v>
      </c>
      <c r="J7" s="18" t="n">
        <v>184800</v>
      </c>
      <c r="K7" s="18" t="n">
        <v>64680</v>
      </c>
      <c r="L7" s="18" t="n">
        <v>76230</v>
      </c>
      <c r="M7" s="18" t="n">
        <v>888006.9263598977</v>
      </c>
      <c r="N7" s="19" t="n">
        <v>1537116.926359898</v>
      </c>
      <c r="O7" s="18" t="n">
        <v>429415</v>
      </c>
      <c r="P7" s="18" t="n">
        <v>5760734.631799488</v>
      </c>
      <c r="Q7" s="5" t="inlineStr">
        <is>
          <t>MODESTO ASH; MODESTO ASH; RAYWOOD ASH; STONE FRUIT SPECIES</t>
        </is>
      </c>
    </row>
    <row r="8">
      <c r="A8" s="20" t="n">
        <v>6</v>
      </c>
      <c r="B8" s="21" t="n">
        <v>46.02902821550442</v>
      </c>
      <c r="C8" s="22" t="n">
        <v>0.2709784685575301</v>
      </c>
      <c r="D8" s="21" t="n">
        <v>356.5308572329055</v>
      </c>
      <c r="E8" s="21" t="n">
        <v>21.42127017963614</v>
      </c>
      <c r="F8" s="23" t="n">
        <v>0.4076389074325562</v>
      </c>
      <c r="G8" s="20" t="n">
        <v>4</v>
      </c>
      <c r="H8" s="20" t="n">
        <v>88</v>
      </c>
      <c r="I8" s="24" t="n">
        <v>61600</v>
      </c>
      <c r="J8" s="24" t="n">
        <v>35200</v>
      </c>
      <c r="K8" s="24" t="n">
        <v>12320</v>
      </c>
      <c r="L8" s="24" t="n">
        <v>14520</v>
      </c>
      <c r="M8" s="24" t="n">
        <v>888006.9263598977</v>
      </c>
      <c r="N8" s="19" t="n">
        <v>1011646.926359898</v>
      </c>
      <c r="O8" s="24" t="n">
        <v>539005</v>
      </c>
      <c r="P8" s="24" t="n">
        <v>6772381.558159386</v>
      </c>
      <c r="Q8" s="7" t="inlineStr">
        <is>
          <t>RAYWOOD ASH; RAYWOOD ASH; STONE FRUIT SPECIES; AUTUMN PURPLE ASH</t>
        </is>
      </c>
    </row>
    <row r="9">
      <c r="A9" s="14" t="n">
        <v>7</v>
      </c>
      <c r="B9" s="15" t="n">
        <v>47.57357309402514</v>
      </c>
      <c r="C9" s="16" t="n">
        <v>1.544544878520725</v>
      </c>
      <c r="D9" s="15" t="n">
        <v>372.7481054446416</v>
      </c>
      <c r="E9" s="15" t="n">
        <v>21.69757677681603</v>
      </c>
      <c r="F9" s="17" t="n">
        <v>0.4522695541381836</v>
      </c>
      <c r="G9" s="14" t="n">
        <v>4</v>
      </c>
      <c r="H9" s="14" t="n">
        <v>140</v>
      </c>
      <c r="I9" s="18" t="n">
        <v>98000</v>
      </c>
      <c r="J9" s="18" t="n">
        <v>56000</v>
      </c>
      <c r="K9" s="18" t="n">
        <v>19600</v>
      </c>
      <c r="L9" s="18" t="n">
        <v>23100</v>
      </c>
      <c r="M9" s="18" t="n">
        <v>888006.9263598977</v>
      </c>
      <c r="N9" s="19" t="n">
        <v>1084706.926359898</v>
      </c>
      <c r="O9" s="18" t="n">
        <v>139985</v>
      </c>
      <c r="P9" s="18" t="n">
        <v>7857088.484519283</v>
      </c>
      <c r="Q9" s="5" t="inlineStr">
        <is>
          <t>STONE FRUIT SPECIES; STONE FRUIT SPECIES; AUTUMN PURPLE ASH; AMERICAN SWEET GUM</t>
        </is>
      </c>
    </row>
    <row r="10">
      <c r="A10" s="20" t="n">
        <v>8</v>
      </c>
      <c r="B10" s="21" t="n">
        <v>49.23351866229536</v>
      </c>
      <c r="C10" s="22" t="n">
        <v>1.659945568270217</v>
      </c>
      <c r="D10" s="21" t="n">
        <v>381.4608775715344</v>
      </c>
      <c r="E10" s="21" t="n">
        <v>21.94514757033428</v>
      </c>
      <c r="F10" s="23" t="n">
        <v>0.5198915600776672</v>
      </c>
      <c r="G10" s="20" t="n">
        <v>4</v>
      </c>
      <c r="H10" s="20" t="n">
        <v>10</v>
      </c>
      <c r="I10" s="24" t="n">
        <v>7000</v>
      </c>
      <c r="J10" s="24" t="n">
        <v>4000</v>
      </c>
      <c r="K10" s="24" t="n">
        <v>1400</v>
      </c>
      <c r="L10" s="24" t="n">
        <v>1650</v>
      </c>
      <c r="M10" s="24" t="n">
        <v>888006.9263598977</v>
      </c>
      <c r="N10" s="19" t="n">
        <v>902056.9263598977</v>
      </c>
      <c r="O10" s="24" t="n">
        <v>57090</v>
      </c>
      <c r="P10" s="24" t="n">
        <v>8759145.410879182</v>
      </c>
      <c r="Q10" s="7" t="inlineStr">
        <is>
          <t>AMERICAN SWEET GUM; AMERICAN SWEET GUM; CAMPHOR TREE; CAMPHOR TREE</t>
        </is>
      </c>
    </row>
    <row r="11">
      <c r="A11" s="14" t="n">
        <v>9</v>
      </c>
      <c r="B11" s="15" t="n">
        <v>51.03828879273519</v>
      </c>
      <c r="C11" s="16" t="n">
        <v>1.804770130439834</v>
      </c>
      <c r="D11" s="15" t="n">
        <v>397.3319716834424</v>
      </c>
      <c r="E11" s="15" t="n">
        <v>21.93834567285774</v>
      </c>
      <c r="F11" s="17" t="n">
        <v>0.541933536529541</v>
      </c>
      <c r="G11" s="14" t="n">
        <v>1</v>
      </c>
      <c r="H11" s="14" t="n">
        <v>1</v>
      </c>
      <c r="I11" s="18" t="n">
        <v>700</v>
      </c>
      <c r="J11" s="18" t="n">
        <v>400</v>
      </c>
      <c r="K11" s="18" t="n">
        <v>140</v>
      </c>
      <c r="L11" s="18" t="n">
        <v>165</v>
      </c>
      <c r="M11" s="18" t="n">
        <v>888006.9263598977</v>
      </c>
      <c r="N11" s="19" t="n">
        <v>889411.9263598977</v>
      </c>
      <c r="O11" s="18" t="n">
        <v>890</v>
      </c>
      <c r="P11" s="18" t="n">
        <v>9648557.337239079</v>
      </c>
      <c r="Q11" s="5" t="inlineStr">
        <is>
          <t>LONDON PLANE 'BLOODGOOD'</t>
        </is>
      </c>
    </row>
    <row r="12">
      <c r="A12" s="20" t="n">
        <v>10</v>
      </c>
      <c r="B12" s="21" t="n">
        <v>52.86423995667679</v>
      </c>
      <c r="C12" s="22" t="n">
        <v>1.825951163941596</v>
      </c>
      <c r="D12" s="21" t="n">
        <v>413.3893311653407</v>
      </c>
      <c r="E12" s="21" t="n">
        <v>21.9314639473655</v>
      </c>
      <c r="F12" s="23" t="n">
        <v>0.5639755129814148</v>
      </c>
      <c r="G12" s="20" t="n">
        <v>1</v>
      </c>
      <c r="H12" s="20" t="n">
        <v>180</v>
      </c>
      <c r="I12" s="24" t="n">
        <v>126000</v>
      </c>
      <c r="J12" s="24" t="n">
        <v>72000</v>
      </c>
      <c r="K12" s="24" t="n">
        <v>25200</v>
      </c>
      <c r="L12" s="24" t="n">
        <v>29700</v>
      </c>
      <c r="M12" s="24" t="n">
        <v>888006.9263598977</v>
      </c>
      <c r="N12" s="19" t="n">
        <v>1140906.926359898</v>
      </c>
      <c r="O12" s="24" t="n">
        <v>890</v>
      </c>
      <c r="P12" s="24" t="n">
        <v>10789464.26359898</v>
      </c>
      <c r="Q12" s="7" t="inlineStr">
        <is>
          <t>LONDON PLANE 'BLOODGOOD'</t>
        </is>
      </c>
    </row>
    <row r="13">
      <c r="A13" s="14" t="n">
        <v>11</v>
      </c>
      <c r="B13" s="15" t="n">
        <v>54.64746048050341</v>
      </c>
      <c r="C13" s="16" t="n">
        <v>1.783220523826621</v>
      </c>
      <c r="D13" s="15" t="n">
        <v>414.6936805967015</v>
      </c>
      <c r="E13" s="15" t="n">
        <v>22.52704517207873</v>
      </c>
      <c r="F13" s="17" t="n">
        <v>0.6007309556007385</v>
      </c>
      <c r="G13" s="14" t="n">
        <v>3</v>
      </c>
      <c r="H13" s="14" t="n">
        <v>357</v>
      </c>
      <c r="I13" s="18" t="n">
        <v>249900</v>
      </c>
      <c r="J13" s="18" t="n">
        <v>142800</v>
      </c>
      <c r="K13" s="18" t="n">
        <v>49980</v>
      </c>
      <c r="L13" s="18" t="n">
        <v>58905</v>
      </c>
      <c r="M13" s="18" t="n">
        <v>888006.9263598977</v>
      </c>
      <c r="N13" s="19" t="n">
        <v>1389591.926359898</v>
      </c>
      <c r="O13" s="18" t="n">
        <v>890</v>
      </c>
      <c r="P13" s="18" t="n">
        <v>12179056.18995887</v>
      </c>
      <c r="Q13" s="5" t="inlineStr">
        <is>
          <t>LONDON PLANE 'BLOODGOOD'; LONDON PLANE 'BLOODGOOD'; ORNAMENTAL PEAR</t>
        </is>
      </c>
    </row>
    <row r="14">
      <c r="A14" s="20" t="n">
        <v>12</v>
      </c>
      <c r="B14" s="21" t="n">
        <v>55.39768129987833</v>
      </c>
      <c r="C14" s="22" t="n">
        <v>0.7502208193749169</v>
      </c>
      <c r="D14" s="21" t="n">
        <v>407.8112241047368</v>
      </c>
      <c r="E14" s="21" t="n">
        <v>22.7219372051658</v>
      </c>
      <c r="F14" s="23" t="n">
        <v>0.6355046033859253</v>
      </c>
      <c r="G14" s="20" t="n">
        <v>4</v>
      </c>
      <c r="H14" s="20" t="n">
        <v>595</v>
      </c>
      <c r="I14" s="24" t="n">
        <v>416500</v>
      </c>
      <c r="J14" s="24" t="n">
        <v>238000</v>
      </c>
      <c r="K14" s="24" t="n">
        <v>83300</v>
      </c>
      <c r="L14" s="24" t="n">
        <v>98175</v>
      </c>
      <c r="M14" s="24" t="n">
        <v>888006.9263598977</v>
      </c>
      <c r="N14" s="19" t="n">
        <v>1723981.926359898</v>
      </c>
      <c r="O14" s="24" t="n">
        <v>392885</v>
      </c>
      <c r="P14" s="24" t="n">
        <v>13903038.11631877</v>
      </c>
      <c r="Q14" s="7" t="inlineStr">
        <is>
          <t>ORNAMENTAL PEAR; ORNAMENTAL PEAR; CAMPHOR TREE; CAMPHOR TREE</t>
        </is>
      </c>
    </row>
    <row r="15">
      <c r="A15" s="14" t="n">
        <v>13</v>
      </c>
      <c r="B15" s="15" t="n">
        <v>57.44252170298041</v>
      </c>
      <c r="C15" s="16" t="n">
        <v>2.044840403102086</v>
      </c>
      <c r="D15" s="15" t="n">
        <v>404.4002140016623</v>
      </c>
      <c r="E15" s="15" t="n">
        <v>22.83599044029415</v>
      </c>
      <c r="F15" s="17" t="n">
        <v>0.6821348071098328</v>
      </c>
      <c r="G15" s="14" t="n">
        <v>4</v>
      </c>
      <c r="H15" s="14" t="n">
        <v>697</v>
      </c>
      <c r="I15" s="18" t="n">
        <v>487900</v>
      </c>
      <c r="J15" s="18" t="n">
        <v>278800</v>
      </c>
      <c r="K15" s="18" t="n">
        <v>97580</v>
      </c>
      <c r="L15" s="18" t="n">
        <v>115005</v>
      </c>
      <c r="M15" s="18" t="n">
        <v>888006.9263598977</v>
      </c>
      <c r="N15" s="19" t="n">
        <v>1867291.926359898</v>
      </c>
      <c r="O15" s="18" t="n">
        <v>890</v>
      </c>
      <c r="P15" s="18" t="n">
        <v>15770330.04267867</v>
      </c>
      <c r="Q15" s="5" t="inlineStr">
        <is>
          <t>RED MAPLE 'OCTOBER GLORY'; RED MAPLE 'OCTOBER GLORY'; RED MAPLE 'OCTOBER GLORY'; AUTUMN PURPLE ASH</t>
        </is>
      </c>
    </row>
    <row r="16">
      <c r="A16" s="20" t="n">
        <v>14</v>
      </c>
      <c r="B16" s="21" t="n">
        <v>59.60042611318979</v>
      </c>
      <c r="C16" s="22" t="n">
        <v>2.157904410209376</v>
      </c>
      <c r="D16" s="21" t="n">
        <v>431.6509823069293</v>
      </c>
      <c r="E16" s="21" t="n">
        <v>22.01088100844398</v>
      </c>
      <c r="F16" s="23" t="n">
        <v>0.7118645310401917</v>
      </c>
      <c r="G16" s="20" t="n">
        <v>1</v>
      </c>
      <c r="H16" s="20" t="n">
        <v>1</v>
      </c>
      <c r="I16" s="24" t="n">
        <v>700</v>
      </c>
      <c r="J16" s="24" t="n">
        <v>400</v>
      </c>
      <c r="K16" s="24" t="n">
        <v>140</v>
      </c>
      <c r="L16" s="24" t="n">
        <v>165</v>
      </c>
      <c r="M16" s="24" t="n">
        <v>888006.9263598977</v>
      </c>
      <c r="N16" s="19" t="n">
        <v>889411.9263598977</v>
      </c>
      <c r="O16" s="24" t="n">
        <v>890</v>
      </c>
      <c r="P16" s="24" t="n">
        <v>16659741.96903857</v>
      </c>
      <c r="Q16" s="7" t="inlineStr">
        <is>
          <t>MUSKOGEE CRAPE MYRTLE</t>
        </is>
      </c>
    </row>
    <row r="17">
      <c r="A17" s="14" t="n">
        <v>15</v>
      </c>
      <c r="B17" s="15" t="n">
        <v>61.4072773597542</v>
      </c>
      <c r="C17" s="16" t="n">
        <v>1.806851246564413</v>
      </c>
      <c r="D17" s="15" t="n">
        <v>438.8487537121334</v>
      </c>
      <c r="E17" s="15" t="n">
        <v>22.35936621982358</v>
      </c>
      <c r="F17" s="17" t="n">
        <v>0.7505600452423096</v>
      </c>
      <c r="G17" s="14" t="n">
        <v>2</v>
      </c>
      <c r="H17" s="14" t="n">
        <v>338</v>
      </c>
      <c r="I17" s="18" t="n">
        <v>236600</v>
      </c>
      <c r="J17" s="18" t="n">
        <v>135200</v>
      </c>
      <c r="K17" s="18" t="n">
        <v>47320</v>
      </c>
      <c r="L17" s="18" t="n">
        <v>55770</v>
      </c>
      <c r="M17" s="18" t="n">
        <v>888006.9263598977</v>
      </c>
      <c r="N17" s="19" t="n">
        <v>1362896.926359898</v>
      </c>
      <c r="O17" s="18" t="n">
        <v>890</v>
      </c>
      <c r="P17" s="18" t="n">
        <v>18022638.89539846</v>
      </c>
      <c r="Q17" s="5" t="inlineStr">
        <is>
          <t>MUSKOGEE CRAPE MYRTLE; SOUTHERN MAGNOLIA</t>
        </is>
      </c>
    </row>
    <row r="18">
      <c r="A18" s="20" t="n">
        <v>16</v>
      </c>
      <c r="B18" s="21" t="n">
        <v>62.22182796117497</v>
      </c>
      <c r="C18" s="22" t="n">
        <v>0.8145506014207626</v>
      </c>
      <c r="D18" s="21" t="n">
        <v>439.3378734007065</v>
      </c>
      <c r="E18" s="21" t="n">
        <v>22.75349957079966</v>
      </c>
      <c r="F18" s="23" t="n">
        <v>0.800000011920929</v>
      </c>
      <c r="G18" s="20" t="n">
        <v>4</v>
      </c>
      <c r="H18" s="20" t="n">
        <v>56</v>
      </c>
      <c r="I18" s="24" t="n">
        <v>39200</v>
      </c>
      <c r="J18" s="24" t="n">
        <v>22400</v>
      </c>
      <c r="K18" s="24" t="n">
        <v>7840</v>
      </c>
      <c r="L18" s="24" t="n">
        <v>9240</v>
      </c>
      <c r="M18" s="24" t="n">
        <v>888006.9263598977</v>
      </c>
      <c r="N18" s="19" t="n">
        <v>966686.9263598977</v>
      </c>
      <c r="O18" s="24" t="n">
        <v>343710</v>
      </c>
      <c r="P18" s="24" t="n">
        <v>18989325.82175836</v>
      </c>
      <c r="Q18" s="7" t="inlineStr">
        <is>
          <t>SOUTHERN MAGNOLIA; SOUTHERN MAGNOLIA; SOUTHERN MAGNOLIA; WHITE ALDER</t>
        </is>
      </c>
    </row>
    <row r="19">
      <c r="A19" s="14" t="n">
        <v>17</v>
      </c>
      <c r="B19" s="15" t="n">
        <v>62.221827961175</v>
      </c>
      <c r="C19" s="16" t="n">
        <v>3.552713678800501e-14</v>
      </c>
      <c r="D19" s="15" t="n">
        <v>439.3378734007067</v>
      </c>
      <c r="E19" s="15" t="n">
        <v>22.75349957079966</v>
      </c>
      <c r="F19" s="17" t="n">
        <v>0.800000011920929</v>
      </c>
      <c r="G19" s="14" t="n">
        <v>0</v>
      </c>
      <c r="H19" s="14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888006.9263598977</v>
      </c>
      <c r="N19" s="19" t="n">
        <v>888006.9263598977</v>
      </c>
      <c r="O19" s="18" t="n">
        <v>650000</v>
      </c>
      <c r="P19" s="18" t="n">
        <v>19877332.74811826</v>
      </c>
      <c r="Q19" s="5" t="inlineStr">
        <is>
          <t>—</t>
        </is>
      </c>
    </row>
    <row r="20">
      <c r="A20" s="20" t="n">
        <v>18</v>
      </c>
      <c r="B20" s="21" t="n">
        <v>63.2389704691494</v>
      </c>
      <c r="C20" s="22" t="n">
        <v>1.017142507974398</v>
      </c>
      <c r="D20" s="21" t="n">
        <v>449.488444324606</v>
      </c>
      <c r="E20" s="21" t="n">
        <v>21.88870111883919</v>
      </c>
      <c r="F20" s="23" t="n">
        <v>0.8857142925262451</v>
      </c>
      <c r="G20" s="20" t="n">
        <v>4</v>
      </c>
      <c r="H20" s="20" t="n">
        <v>380</v>
      </c>
      <c r="I20" s="24" t="n">
        <v>266000</v>
      </c>
      <c r="J20" s="24" t="n">
        <v>152000</v>
      </c>
      <c r="K20" s="24" t="n">
        <v>53200</v>
      </c>
      <c r="L20" s="24" t="n">
        <v>62700</v>
      </c>
      <c r="M20" s="24" t="n">
        <v>888006.9263598977</v>
      </c>
      <c r="N20" s="19" t="n">
        <v>1421906.926359898</v>
      </c>
      <c r="O20" s="24" t="n">
        <v>342305</v>
      </c>
      <c r="P20" s="24" t="n">
        <v>21299239.67447816</v>
      </c>
      <c r="Q20" s="7" t="inlineStr">
        <is>
          <t>MAIDENHAIR TREE; MAIDENHAIR TREE; MAIDENHAIR TREE; MARINA STRAWBERRY TREE</t>
        </is>
      </c>
    </row>
    <row r="21">
      <c r="A21" s="14" t="n">
        <v>19</v>
      </c>
      <c r="B21" s="15" t="n">
        <v>64.1606900941059</v>
      </c>
      <c r="C21" s="16" t="n">
        <v>0.9217196249565021</v>
      </c>
      <c r="D21" s="15" t="n">
        <v>459.8080688035039</v>
      </c>
      <c r="E21" s="15" t="n">
        <v>22.03399150460577</v>
      </c>
      <c r="F21" s="17" t="n">
        <v>0.965570867061615</v>
      </c>
      <c r="G21" s="14" t="n">
        <v>4</v>
      </c>
      <c r="H21" s="14" t="n">
        <v>671</v>
      </c>
      <c r="I21" s="18" t="n">
        <v>469700</v>
      </c>
      <c r="J21" s="18" t="n">
        <v>268400</v>
      </c>
      <c r="K21" s="18" t="n">
        <v>93940</v>
      </c>
      <c r="L21" s="18" t="n">
        <v>110715</v>
      </c>
      <c r="M21" s="18" t="n">
        <v>888006.9263598977</v>
      </c>
      <c r="N21" s="19" t="n">
        <v>1830761.926359898</v>
      </c>
      <c r="O21" s="18" t="n">
        <v>243955</v>
      </c>
      <c r="P21" s="18" t="n">
        <v>23130001.60083806</v>
      </c>
      <c r="Q21" s="5" t="inlineStr">
        <is>
          <t>MARINA STRAWBERRY TREE; SHAMEL ASH; SHAMEL ASH; SHAMEL ASH</t>
        </is>
      </c>
    </row>
    <row r="22">
      <c r="A22" s="20" t="n">
        <v>20</v>
      </c>
      <c r="B22" s="21" t="n">
        <v>65.21425726211318</v>
      </c>
      <c r="C22" s="22" t="n">
        <v>1.053567168007277</v>
      </c>
      <c r="D22" s="21" t="n">
        <v>471.4171115457195</v>
      </c>
      <c r="E22" s="21" t="n">
        <v>21.94804260405781</v>
      </c>
      <c r="F22" s="23" t="n">
        <v>0.9988095164299011</v>
      </c>
      <c r="G22" s="20" t="n">
        <v>2</v>
      </c>
      <c r="H22" s="20" t="n">
        <v>294</v>
      </c>
      <c r="I22" s="24" t="n">
        <v>205800</v>
      </c>
      <c r="J22" s="24" t="n">
        <v>117600</v>
      </c>
      <c r="K22" s="24" t="n">
        <v>41160</v>
      </c>
      <c r="L22" s="24" t="n">
        <v>48510</v>
      </c>
      <c r="M22" s="24" t="n">
        <v>888006.9263598977</v>
      </c>
      <c r="N22" s="19" t="n">
        <v>1301076.926359898</v>
      </c>
      <c r="O22" s="24" t="n">
        <v>156845</v>
      </c>
      <c r="P22" s="24" t="n">
        <v>24431078.52719796</v>
      </c>
      <c r="Q22" s="7" t="inlineStr">
        <is>
          <t>CHINESE PISTACHE; CHINESE PISTACHE</t>
        </is>
      </c>
    </row>
    <row r="23">
      <c r="A23" s="14" t="n">
        <v>21</v>
      </c>
      <c r="B23" s="15" t="n">
        <v>65.21425726211318</v>
      </c>
      <c r="C23" s="15" t="n">
        <v>0</v>
      </c>
      <c r="D23" s="15" t="n">
        <v>471.4171115457194</v>
      </c>
      <c r="E23" s="15" t="n">
        <v>21.9480426040578</v>
      </c>
      <c r="F23" s="17" t="n">
        <v>0.9988095164299011</v>
      </c>
      <c r="G23" s="14" t="n">
        <v>0</v>
      </c>
      <c r="H23" s="14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888006.9263598977</v>
      </c>
      <c r="N23" s="19" t="n">
        <v>888006.9263598977</v>
      </c>
      <c r="O23" s="18" t="n">
        <v>650000</v>
      </c>
      <c r="P23" s="18" t="n">
        <v>25319085.45355786</v>
      </c>
      <c r="Q23" s="5" t="inlineStr">
        <is>
          <t>—</t>
        </is>
      </c>
    </row>
    <row r="24">
      <c r="A24" s="20" t="n">
        <v>22</v>
      </c>
      <c r="B24" s="21" t="n">
        <v>65.21425726211322</v>
      </c>
      <c r="C24" s="22" t="n">
        <v>4.263256414560601e-14</v>
      </c>
      <c r="D24" s="21" t="n">
        <v>471.4171115457195</v>
      </c>
      <c r="E24" s="21" t="n">
        <v>21.9480426040578</v>
      </c>
      <c r="F24" s="23" t="n">
        <v>0.9988095164299011</v>
      </c>
      <c r="G24" s="20" t="n">
        <v>0</v>
      </c>
      <c r="H24" s="20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888006.9263598977</v>
      </c>
      <c r="N24" s="19" t="n">
        <v>888006.9263598977</v>
      </c>
      <c r="O24" s="24" t="n">
        <v>650000</v>
      </c>
      <c r="P24" s="24" t="n">
        <v>26207092.37991776</v>
      </c>
      <c r="Q24" s="7" t="inlineStr">
        <is>
          <t>—</t>
        </is>
      </c>
    </row>
    <row r="25">
      <c r="A25" s="14" t="n">
        <v>23</v>
      </c>
      <c r="B25" s="15" t="n">
        <v>65.21425726211319</v>
      </c>
      <c r="C25" s="15" t="n">
        <v>-2.842170943040401e-14</v>
      </c>
      <c r="D25" s="15" t="n">
        <v>471.4171115457194</v>
      </c>
      <c r="E25" s="15" t="n">
        <v>21.94804260405781</v>
      </c>
      <c r="F25" s="17" t="n">
        <v>0.9988095164299011</v>
      </c>
      <c r="G25" s="14" t="n">
        <v>0</v>
      </c>
      <c r="H25" s="14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888006.9263598977</v>
      </c>
      <c r="N25" s="19" t="n">
        <v>888006.9263598977</v>
      </c>
      <c r="O25" s="18" t="n">
        <v>650000</v>
      </c>
      <c r="P25" s="18" t="n">
        <v>27095099.30627766</v>
      </c>
      <c r="Q25" s="5" t="inlineStr">
        <is>
          <t>—</t>
        </is>
      </c>
    </row>
    <row r="26">
      <c r="A26" s="20" t="n">
        <v>24</v>
      </c>
      <c r="B26" s="21" t="n">
        <v>65.21425726211319</v>
      </c>
      <c r="C26" s="21" t="n">
        <v>0</v>
      </c>
      <c r="D26" s="21" t="n">
        <v>471.4171115457195</v>
      </c>
      <c r="E26" s="21" t="n">
        <v>21.9480426040578</v>
      </c>
      <c r="F26" s="23" t="n">
        <v>0.9988095164299011</v>
      </c>
      <c r="G26" s="20" t="n">
        <v>0</v>
      </c>
      <c r="H26" s="20" t="n">
        <v>0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888006.9263598977</v>
      </c>
      <c r="N26" s="19" t="n">
        <v>888006.9263598977</v>
      </c>
      <c r="O26" s="24" t="n">
        <v>650000</v>
      </c>
      <c r="P26" s="24" t="n">
        <v>27983106.23263756</v>
      </c>
      <c r="Q26" s="7" t="inlineStr">
        <is>
          <t>—</t>
        </is>
      </c>
    </row>
    <row r="27">
      <c r="A27" s="14" t="n">
        <v>25</v>
      </c>
      <c r="B27" s="15" t="n">
        <v>65.21425726211319</v>
      </c>
      <c r="C27" s="15" t="n">
        <v>0</v>
      </c>
      <c r="D27" s="15" t="n">
        <v>471.4171115457194</v>
      </c>
      <c r="E27" s="15" t="n">
        <v>21.9480426040578</v>
      </c>
      <c r="F27" s="17" t="n">
        <v>0.9988095164299011</v>
      </c>
      <c r="G27" s="14" t="n">
        <v>0</v>
      </c>
      <c r="H27" s="14" t="n">
        <v>1246</v>
      </c>
      <c r="I27" s="18" t="n">
        <v>872200</v>
      </c>
      <c r="J27" s="18" t="n">
        <v>498400</v>
      </c>
      <c r="K27" s="18" t="n">
        <v>174440</v>
      </c>
      <c r="L27" s="18" t="n">
        <v>205590</v>
      </c>
      <c r="M27" s="18" t="n">
        <v>888006.9263598977</v>
      </c>
      <c r="N27" s="19" t="n">
        <v>2638636.926359897</v>
      </c>
      <c r="O27" s="18" t="n">
        <v>650000</v>
      </c>
      <c r="P27" s="18" t="n">
        <v>30621743.15899745</v>
      </c>
      <c r="Q27" s="5" t="inlineStr">
        <is>
          <t>—</t>
        </is>
      </c>
    </row>
    <row r="28">
      <c r="A28" s="25" t="inlineStr">
        <is>
          <t>TOTAL</t>
        </is>
      </c>
      <c r="B28" s="26" t="inlineStr"/>
      <c r="C28" s="26" t="inlineStr"/>
      <c r="D28" s="26" t="inlineStr"/>
      <c r="E28" s="26" t="inlineStr"/>
      <c r="F28" s="27" t="inlineStr"/>
      <c r="G28" s="25" t="n">
        <v>61</v>
      </c>
      <c r="H28" s="25" t="n">
        <v>5994</v>
      </c>
      <c r="I28" s="28" t="n">
        <v>4195800</v>
      </c>
      <c r="J28" s="28" t="n">
        <v>2397600</v>
      </c>
      <c r="K28" s="28" t="n">
        <v>839160</v>
      </c>
      <c r="L28" s="28" t="n">
        <v>989010</v>
      </c>
      <c r="M28" s="28" t="n">
        <v>22200173.15899745</v>
      </c>
      <c r="N28" s="28" t="n">
        <v>30621743.15899745</v>
      </c>
      <c r="O28" s="28" t="inlineStr"/>
      <c r="P28" s="28" t="n">
        <v>30621743.15899745</v>
      </c>
      <c r="Q28" s="29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4" customWidth="1" min="3" max="3"/>
    <col width="24" customWidth="1" min="4" max="4"/>
    <col width="15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14" customWidth="1" min="11" max="11"/>
    <col width="17" customWidth="1" min="12" max="12"/>
    <col width="18" customWidth="1" min="13" max="13"/>
    <col width="21" customWidth="1" min="14" max="14"/>
    <col width="15" customWidth="1" min="15" max="15"/>
  </cols>
  <sheetData>
    <row r="1" ht="18" customHeight="1">
      <c r="A1" s="3" t="inlineStr">
        <is>
          <t xml:space="preserve">  Milpitas  ·  Species-Level Swap Schedule</t>
        </is>
      </c>
    </row>
    <row r="2" ht="22" customHeight="1">
      <c r="A2" s="13" t="inlineStr">
        <is>
          <t>Source Species
(Remove)</t>
        </is>
      </c>
      <c r="B2" s="13" t="inlineStr">
        <is>
          <t>Priority
Tier</t>
        </is>
      </c>
      <c r="C2" s="13" t="inlineStr">
        <is>
          <t>Total Trees
To Replace</t>
        </is>
      </c>
      <c r="D2" s="13" t="inlineStr">
        <is>
          <t>Target Species
(Plant)</t>
        </is>
      </c>
      <c r="E2" s="13" t="inlineStr">
        <is>
          <t>Trees
Planted</t>
        </is>
      </c>
      <c r="F2" s="13" t="inlineStr">
        <is>
          <t>Yr Start</t>
        </is>
      </c>
      <c r="G2" s="13" t="inlineStr">
        <is>
          <t>Yr End</t>
        </is>
      </c>
      <c r="H2" s="13" t="inlineStr">
        <is>
          <t>Removal ($)</t>
        </is>
      </c>
      <c r="I2" s="13" t="inlineStr">
        <is>
          <t>Planting ($)</t>
        </is>
      </c>
      <c r="J2" s="13" t="inlineStr">
        <is>
          <t>Watering ($)</t>
        </is>
      </c>
      <c r="K2" s="13" t="inlineStr">
        <is>
          <t>Overhead ($)</t>
        </is>
      </c>
      <c r="L2" s="13" t="inlineStr">
        <is>
          <t>TOTAL Batch ($)</t>
        </is>
      </c>
      <c r="M2" s="13" t="inlineStr">
        <is>
          <t>STARS Gain
/tree</t>
        </is>
      </c>
      <c r="N2" s="13" t="inlineStr">
        <is>
          <t>CO₂ Gain
(lbs/tree)</t>
        </is>
      </c>
      <c r="O2" s="13" t="inlineStr">
        <is>
          <t>Urgency
Score</t>
        </is>
      </c>
    </row>
    <row r="3">
      <c r="A3" s="5" t="inlineStr">
        <is>
          <t>AMERICAN SWEET GUM</t>
        </is>
      </c>
      <c r="B3" s="30" t="inlineStr">
        <is>
          <t>Priority 5</t>
        </is>
      </c>
      <c r="C3" s="14" t="n">
        <v>537</v>
      </c>
      <c r="D3" s="5" t="inlineStr">
        <is>
          <t>INTERIOR LIVE OAK</t>
        </is>
      </c>
      <c r="E3" s="14" t="n">
        <v>537</v>
      </c>
      <c r="F3" s="14" t="n">
        <v>10</v>
      </c>
      <c r="G3" s="14" t="n">
        <v>11</v>
      </c>
      <c r="H3" s="18" t="n">
        <v>375900</v>
      </c>
      <c r="I3" s="18" t="n">
        <v>214800</v>
      </c>
      <c r="J3" s="18" t="n">
        <v>75180</v>
      </c>
      <c r="K3" s="18" t="n">
        <v>88605</v>
      </c>
      <c r="L3" s="18" t="n">
        <v>754485</v>
      </c>
      <c r="M3" s="15" t="n">
        <v>21</v>
      </c>
      <c r="N3" s="15" t="n">
        <v>468.6</v>
      </c>
      <c r="O3" s="15" t="n">
        <v>0.83</v>
      </c>
    </row>
    <row r="4">
      <c r="A4" s="7" t="inlineStr">
        <is>
          <t>AUTUMN PURPLE ASH</t>
        </is>
      </c>
      <c r="B4" s="31" t="inlineStr">
        <is>
          <t>Priority 4</t>
        </is>
      </c>
      <c r="C4" s="20" t="n">
        <v>9</v>
      </c>
      <c r="D4" s="7" t="inlineStr">
        <is>
          <t>CALIFORNIA BUCKEYE</t>
        </is>
      </c>
      <c r="E4" s="20" t="n">
        <v>10</v>
      </c>
      <c r="F4" s="20" t="n">
        <v>8</v>
      </c>
      <c r="G4" s="20" t="n">
        <v>19</v>
      </c>
      <c r="H4" s="24" t="n">
        <v>7000</v>
      </c>
      <c r="I4" s="24" t="n">
        <v>4000</v>
      </c>
      <c r="J4" s="24" t="n">
        <v>1400</v>
      </c>
      <c r="K4" s="24" t="n">
        <v>1650</v>
      </c>
      <c r="L4" s="24" t="n">
        <v>14050</v>
      </c>
      <c r="M4" s="21" t="n">
        <v>17.6</v>
      </c>
      <c r="N4" s="21" t="n">
        <v>349.1</v>
      </c>
      <c r="O4" s="21" t="n">
        <v>0.68</v>
      </c>
    </row>
    <row r="5">
      <c r="A5" s="5" t="inlineStr">
        <is>
          <t>BRISBANE BOX</t>
        </is>
      </c>
      <c r="B5" s="31" t="inlineStr">
        <is>
          <t>Priority 4</t>
        </is>
      </c>
      <c r="C5" s="14" t="n">
        <v>60</v>
      </c>
      <c r="D5" s="5" t="inlineStr">
        <is>
          <t>TEXAS EBONY</t>
        </is>
      </c>
      <c r="E5" s="14" t="n">
        <v>60</v>
      </c>
      <c r="F5" s="14" t="n">
        <v>3</v>
      </c>
      <c r="G5" s="14" t="n">
        <v>5</v>
      </c>
      <c r="H5" s="18" t="n">
        <v>42000</v>
      </c>
      <c r="I5" s="18" t="n">
        <v>24000</v>
      </c>
      <c r="J5" s="18" t="n">
        <v>8400</v>
      </c>
      <c r="K5" s="18" t="n">
        <v>9900</v>
      </c>
      <c r="L5" s="18" t="n">
        <v>84300</v>
      </c>
      <c r="M5" s="15" t="n">
        <v>8.6</v>
      </c>
      <c r="N5" s="15" t="n">
        <v>220</v>
      </c>
      <c r="O5" s="15" t="n">
        <v>0.66</v>
      </c>
    </row>
    <row r="6">
      <c r="A6" s="7" t="inlineStr">
        <is>
          <t>CALIFORNIA SYCAMORE</t>
        </is>
      </c>
      <c r="B6" s="31" t="inlineStr">
        <is>
          <t>Priority 4</t>
        </is>
      </c>
      <c r="C6" s="20" t="n">
        <v>10</v>
      </c>
      <c r="D6" s="7" t="inlineStr">
        <is>
          <t>DESERT WILLOW</t>
        </is>
      </c>
      <c r="E6" s="20" t="n">
        <v>11</v>
      </c>
      <c r="F6" s="20" t="n">
        <v>2</v>
      </c>
      <c r="G6" s="20" t="n">
        <v>3</v>
      </c>
      <c r="H6" s="24" t="n">
        <v>7700</v>
      </c>
      <c r="I6" s="24" t="n">
        <v>4400</v>
      </c>
      <c r="J6" s="24" t="n">
        <v>1540</v>
      </c>
      <c r="K6" s="24" t="n">
        <v>1815</v>
      </c>
      <c r="L6" s="24" t="n">
        <v>15455</v>
      </c>
      <c r="M6" s="21" t="n">
        <v>15.3</v>
      </c>
      <c r="N6" s="21" t="n">
        <v>476.5</v>
      </c>
      <c r="O6" s="21" t="n">
        <v>0.8</v>
      </c>
    </row>
    <row r="7">
      <c r="A7" s="5" t="inlineStr">
        <is>
          <t>CAMPHOR TREE</t>
        </is>
      </c>
      <c r="B7" s="31" t="inlineStr">
        <is>
          <t>Priority 4</t>
        </is>
      </c>
      <c r="C7" s="14" t="n">
        <v>90</v>
      </c>
      <c r="D7" s="5" t="inlineStr">
        <is>
          <t>CALIFORNIA BUCKEYE</t>
        </is>
      </c>
      <c r="E7" s="14" t="n">
        <v>90</v>
      </c>
      <c r="F7" s="14" t="n">
        <v>12</v>
      </c>
      <c r="G7" s="14" t="n">
        <v>16</v>
      </c>
      <c r="H7" s="18" t="n">
        <v>63000</v>
      </c>
      <c r="I7" s="18" t="n">
        <v>36000</v>
      </c>
      <c r="J7" s="18" t="n">
        <v>12600</v>
      </c>
      <c r="K7" s="18" t="n">
        <v>14850</v>
      </c>
      <c r="L7" s="18" t="n">
        <v>126450</v>
      </c>
      <c r="M7" s="15" t="n">
        <v>13.4</v>
      </c>
      <c r="N7" s="15" t="n">
        <v>766.1</v>
      </c>
      <c r="O7" s="15" t="n">
        <v>0.76</v>
      </c>
    </row>
    <row r="8">
      <c r="A8" s="7" t="inlineStr">
        <is>
          <t>CHINESE PISTACHE</t>
        </is>
      </c>
      <c r="B8" s="31" t="inlineStr">
        <is>
          <t>Priority 4</t>
        </is>
      </c>
      <c r="C8" s="20" t="n">
        <v>528</v>
      </c>
      <c r="D8" s="7" t="inlineStr">
        <is>
          <t>CATALINA IRONWOOD</t>
        </is>
      </c>
      <c r="E8" s="20" t="n">
        <v>528</v>
      </c>
      <c r="F8" s="20" t="n">
        <v>25</v>
      </c>
      <c r="G8" s="20" t="n">
        <v>25</v>
      </c>
      <c r="H8" s="24" t="n">
        <v>369600</v>
      </c>
      <c r="I8" s="24" t="n">
        <v>211200</v>
      </c>
      <c r="J8" s="24" t="n">
        <v>73920</v>
      </c>
      <c r="K8" s="24" t="n">
        <v>87120</v>
      </c>
      <c r="L8" s="24" t="n">
        <v>741840</v>
      </c>
      <c r="M8" s="21" t="n">
        <v>7.7</v>
      </c>
      <c r="N8" s="21" t="n">
        <v>353.1</v>
      </c>
      <c r="O8" s="21" t="n">
        <v>0.6899999999999999</v>
      </c>
    </row>
    <row r="9">
      <c r="A9" s="5" t="inlineStr">
        <is>
          <t>COAST REDWOOD</t>
        </is>
      </c>
      <c r="B9" s="30" t="inlineStr">
        <is>
          <t>Priority 5</t>
        </is>
      </c>
      <c r="C9" s="14" t="n">
        <v>246</v>
      </c>
      <c r="D9" s="5" t="inlineStr">
        <is>
          <t>DESERT WILLOW</t>
        </is>
      </c>
      <c r="E9" s="14" t="n">
        <v>246</v>
      </c>
      <c r="F9" s="14" t="n">
        <v>1</v>
      </c>
      <c r="G9" s="14" t="n">
        <v>2</v>
      </c>
      <c r="H9" s="18" t="n">
        <v>172200</v>
      </c>
      <c r="I9" s="18" t="n">
        <v>98400</v>
      </c>
      <c r="J9" s="18" t="n">
        <v>34440</v>
      </c>
      <c r="K9" s="18" t="n">
        <v>40590</v>
      </c>
      <c r="L9" s="18" t="n">
        <v>345630</v>
      </c>
      <c r="M9" s="15" t="n">
        <v>26.2</v>
      </c>
      <c r="N9" s="15" t="n">
        <v>350.4</v>
      </c>
      <c r="O9" s="15" t="n">
        <v>0.83</v>
      </c>
    </row>
    <row r="10">
      <c r="A10" s="7" t="inlineStr">
        <is>
          <t>LONDON PLANE 'BLOODGOOD'</t>
        </is>
      </c>
      <c r="B10" s="31" t="inlineStr">
        <is>
          <t>Priority 4</t>
        </is>
      </c>
      <c r="C10" s="20" t="n">
        <v>1048</v>
      </c>
      <c r="D10" s="7" t="inlineStr">
        <is>
          <t>HOLLY OAK</t>
        </is>
      </c>
      <c r="E10" s="20" t="n">
        <v>1048</v>
      </c>
      <c r="F10" s="20" t="n">
        <v>12</v>
      </c>
      <c r="G10" s="20" t="n">
        <v>14</v>
      </c>
      <c r="H10" s="24" t="n">
        <v>733600</v>
      </c>
      <c r="I10" s="24" t="n">
        <v>419200</v>
      </c>
      <c r="J10" s="24" t="n">
        <v>146720</v>
      </c>
      <c r="K10" s="24" t="n">
        <v>172920</v>
      </c>
      <c r="L10" s="24" t="n">
        <v>1472440</v>
      </c>
      <c r="M10" s="21" t="n">
        <v>15.5</v>
      </c>
      <c r="N10" s="21" t="n">
        <v>380</v>
      </c>
      <c r="O10" s="21" t="n">
        <v>0.78</v>
      </c>
    </row>
    <row r="11">
      <c r="A11" s="5" t="inlineStr">
        <is>
          <t>MAIDENHAIR TREE</t>
        </is>
      </c>
      <c r="B11" s="31" t="inlineStr">
        <is>
          <t>Priority 4</t>
        </is>
      </c>
      <c r="C11" s="14" t="n">
        <v>189</v>
      </c>
      <c r="D11" s="5" t="inlineStr">
        <is>
          <t>TEXAS EBONY</t>
        </is>
      </c>
      <c r="E11" s="14" t="n">
        <v>189</v>
      </c>
      <c r="F11" s="14" t="n">
        <v>25</v>
      </c>
      <c r="G11" s="14" t="n">
        <v>25</v>
      </c>
      <c r="H11" s="18" t="n">
        <v>132300</v>
      </c>
      <c r="I11" s="18" t="n">
        <v>75600</v>
      </c>
      <c r="J11" s="18" t="n">
        <v>26460</v>
      </c>
      <c r="K11" s="18" t="n">
        <v>31185</v>
      </c>
      <c r="L11" s="18" t="n">
        <v>265545</v>
      </c>
      <c r="M11" s="15" t="n">
        <v>17.6</v>
      </c>
      <c r="N11" s="15" t="n">
        <v>548.9</v>
      </c>
      <c r="O11" s="15" t="n">
        <v>0.71</v>
      </c>
    </row>
    <row r="12">
      <c r="A12" s="7" t="inlineStr">
        <is>
          <t>MARINA STRAWBERRY TREE</t>
        </is>
      </c>
      <c r="B12" s="31" t="inlineStr">
        <is>
          <t>Priority 4</t>
        </is>
      </c>
      <c r="C12" s="20" t="n">
        <v>42</v>
      </c>
      <c r="D12" s="7" t="inlineStr">
        <is>
          <t>CALIFORNIA BUCKEYE</t>
        </is>
      </c>
      <c r="E12" s="20" t="n">
        <v>42</v>
      </c>
      <c r="F12" s="20" t="n">
        <v>25</v>
      </c>
      <c r="G12" s="20" t="n">
        <v>25</v>
      </c>
      <c r="H12" s="24" t="n">
        <v>29400</v>
      </c>
      <c r="I12" s="24" t="n">
        <v>16800</v>
      </c>
      <c r="J12" s="24" t="n">
        <v>5880</v>
      </c>
      <c r="K12" s="24" t="n">
        <v>6930</v>
      </c>
      <c r="L12" s="24" t="n">
        <v>59010</v>
      </c>
      <c r="M12" s="21" t="n">
        <v>8.9</v>
      </c>
      <c r="N12" s="21" t="n">
        <v>580</v>
      </c>
      <c r="O12" s="21" t="n">
        <v>0.74</v>
      </c>
    </row>
    <row r="13">
      <c r="A13" s="5" t="inlineStr">
        <is>
          <t>MODESTO ASH</t>
        </is>
      </c>
      <c r="B13" s="31" t="inlineStr">
        <is>
          <t>Priority 4</t>
        </is>
      </c>
      <c r="C13" s="14" t="n">
        <v>475</v>
      </c>
      <c r="D13" s="5" t="inlineStr">
        <is>
          <t>CALIFORNIA BUCKEYE</t>
        </is>
      </c>
      <c r="E13" s="14" t="n">
        <v>476</v>
      </c>
      <c r="F13" s="14" t="n">
        <v>5</v>
      </c>
      <c r="G13" s="14" t="n">
        <v>6</v>
      </c>
      <c r="H13" s="18" t="n">
        <v>333200</v>
      </c>
      <c r="I13" s="18" t="n">
        <v>190400</v>
      </c>
      <c r="J13" s="18" t="n">
        <v>66640</v>
      </c>
      <c r="K13" s="18" t="n">
        <v>78540</v>
      </c>
      <c r="L13" s="18" t="n">
        <v>668780</v>
      </c>
      <c r="M13" s="15" t="n">
        <v>13.1</v>
      </c>
      <c r="N13" s="15" t="n">
        <v>487.1</v>
      </c>
      <c r="O13" s="15" t="n">
        <v>0.72</v>
      </c>
    </row>
    <row r="14">
      <c r="A14" s="7" t="inlineStr">
        <is>
          <t>MUSKOGEE CRAPE MYRTLE</t>
        </is>
      </c>
      <c r="B14" s="31" t="inlineStr">
        <is>
          <t>Priority 4</t>
        </is>
      </c>
      <c r="C14" s="20" t="n">
        <v>777</v>
      </c>
      <c r="D14" s="7" t="inlineStr">
        <is>
          <t>TEXAS EBONY</t>
        </is>
      </c>
      <c r="E14" s="20" t="n">
        <v>777</v>
      </c>
      <c r="F14" s="20" t="n">
        <v>19</v>
      </c>
      <c r="G14" s="20" t="n">
        <v>20</v>
      </c>
      <c r="H14" s="24" t="n">
        <v>543900</v>
      </c>
      <c r="I14" s="24" t="n">
        <v>310800</v>
      </c>
      <c r="J14" s="24" t="n">
        <v>108780</v>
      </c>
      <c r="K14" s="24" t="n">
        <v>128205</v>
      </c>
      <c r="L14" s="24" t="n">
        <v>1091685</v>
      </c>
      <c r="M14" s="21" t="n">
        <v>18.6</v>
      </c>
      <c r="N14" s="21" t="n">
        <v>655.8</v>
      </c>
      <c r="O14" s="21" t="n">
        <v>0.79</v>
      </c>
    </row>
    <row r="15">
      <c r="A15" s="5" t="inlineStr">
        <is>
          <t>ORNAMENTAL PEAR</t>
        </is>
      </c>
      <c r="B15" s="31" t="inlineStr">
        <is>
          <t>Priority 4</t>
        </is>
      </c>
      <c r="C15" s="14" t="n">
        <v>548</v>
      </c>
      <c r="D15" s="5" t="inlineStr">
        <is>
          <t>DESERT WILLOW</t>
        </is>
      </c>
      <c r="E15" s="14" t="n">
        <v>549</v>
      </c>
      <c r="F15" s="14" t="n">
        <v>12</v>
      </c>
      <c r="G15" s="14" t="n">
        <v>16</v>
      </c>
      <c r="H15" s="18" t="n">
        <v>384300</v>
      </c>
      <c r="I15" s="18" t="n">
        <v>219600</v>
      </c>
      <c r="J15" s="18" t="n">
        <v>76860</v>
      </c>
      <c r="K15" s="18" t="n">
        <v>90585</v>
      </c>
      <c r="L15" s="18" t="n">
        <v>771345</v>
      </c>
      <c r="M15" s="15" t="n">
        <v>14.5</v>
      </c>
      <c r="N15" s="15" t="n">
        <v>580</v>
      </c>
      <c r="O15" s="15" t="n">
        <v>0.82</v>
      </c>
    </row>
    <row r="16">
      <c r="A16" s="7" t="inlineStr">
        <is>
          <t>PURPLE-LEAFED PLUM</t>
        </is>
      </c>
      <c r="B16" s="31" t="inlineStr">
        <is>
          <t>Priority 4</t>
        </is>
      </c>
      <c r="C16" s="20" t="n">
        <v>153</v>
      </c>
      <c r="D16" s="7" t="inlineStr">
        <is>
          <t>VALLEY OAK</t>
        </is>
      </c>
      <c r="E16" s="20" t="n">
        <v>153</v>
      </c>
      <c r="F16" s="20" t="n">
        <v>1</v>
      </c>
      <c r="G16" s="20" t="n">
        <v>2</v>
      </c>
      <c r="H16" s="24" t="n">
        <v>107100</v>
      </c>
      <c r="I16" s="24" t="n">
        <v>61200</v>
      </c>
      <c r="J16" s="24" t="n">
        <v>21420</v>
      </c>
      <c r="K16" s="24" t="n">
        <v>25245</v>
      </c>
      <c r="L16" s="24" t="n">
        <v>214965</v>
      </c>
      <c r="M16" s="21" t="n">
        <v>16.2</v>
      </c>
      <c r="N16" s="21" t="n">
        <v>704.1</v>
      </c>
      <c r="O16" s="21" t="n">
        <v>0.77</v>
      </c>
    </row>
    <row r="17">
      <c r="A17" s="5" t="inlineStr">
        <is>
          <t>RAYWOOD ASH</t>
        </is>
      </c>
      <c r="B17" s="31" t="inlineStr">
        <is>
          <t>Priority 4</t>
        </is>
      </c>
      <c r="C17" s="14" t="n">
        <v>204</v>
      </c>
      <c r="D17" s="5" t="inlineStr">
        <is>
          <t>COAST LIVE OAK</t>
        </is>
      </c>
      <c r="E17" s="14" t="n">
        <v>205</v>
      </c>
      <c r="F17" s="14" t="n">
        <v>6</v>
      </c>
      <c r="G17" s="14" t="n">
        <v>7</v>
      </c>
      <c r="H17" s="18" t="n">
        <v>143500</v>
      </c>
      <c r="I17" s="18" t="n">
        <v>82000</v>
      </c>
      <c r="J17" s="18" t="n">
        <v>28700</v>
      </c>
      <c r="K17" s="18" t="n">
        <v>33825</v>
      </c>
      <c r="L17" s="18" t="n">
        <v>288025</v>
      </c>
      <c r="M17" s="15" t="n">
        <v>15.7</v>
      </c>
      <c r="N17" s="15" t="n">
        <v>483.9</v>
      </c>
      <c r="O17" s="15" t="n">
        <v>0.71</v>
      </c>
    </row>
    <row r="18">
      <c r="A18" s="7" t="inlineStr">
        <is>
          <t>RED MAPLE 'OCTOBER GLORY'</t>
        </is>
      </c>
      <c r="B18" s="30" t="inlineStr">
        <is>
          <t>Priority 5</t>
        </is>
      </c>
      <c r="C18" s="20" t="n">
        <v>379</v>
      </c>
      <c r="D18" s="7" t="inlineStr">
        <is>
          <t>VALLEY OAK</t>
        </is>
      </c>
      <c r="E18" s="20" t="n">
        <v>380</v>
      </c>
      <c r="F18" s="20" t="n">
        <v>18</v>
      </c>
      <c r="G18" s="20" t="n">
        <v>18</v>
      </c>
      <c r="H18" s="24" t="n">
        <v>266000</v>
      </c>
      <c r="I18" s="24" t="n">
        <v>152000</v>
      </c>
      <c r="J18" s="24" t="n">
        <v>53200</v>
      </c>
      <c r="K18" s="24" t="n">
        <v>62700</v>
      </c>
      <c r="L18" s="24" t="n">
        <v>533900</v>
      </c>
      <c r="M18" s="21" t="n">
        <v>22.1</v>
      </c>
      <c r="N18" s="21" t="n">
        <v>0</v>
      </c>
      <c r="O18" s="21" t="n">
        <v>0.76</v>
      </c>
    </row>
    <row r="19">
      <c r="A19" s="5" t="inlineStr">
        <is>
          <t>SHAMEL ASH</t>
        </is>
      </c>
      <c r="B19" s="31" t="inlineStr">
        <is>
          <t>Priority 4</t>
        </is>
      </c>
      <c r="C19" s="14" t="n">
        <v>101</v>
      </c>
      <c r="D19" s="5" t="inlineStr">
        <is>
          <t>COAST LIVE OAK</t>
        </is>
      </c>
      <c r="E19" s="14" t="n">
        <v>101</v>
      </c>
      <c r="F19" s="14" t="n">
        <v>25</v>
      </c>
      <c r="G19" s="14" t="n">
        <v>25</v>
      </c>
      <c r="H19" s="18" t="n">
        <v>70700</v>
      </c>
      <c r="I19" s="18" t="n">
        <v>40400</v>
      </c>
      <c r="J19" s="18" t="n">
        <v>14140</v>
      </c>
      <c r="K19" s="18" t="n">
        <v>16665</v>
      </c>
      <c r="L19" s="18" t="n">
        <v>141905</v>
      </c>
      <c r="M19" s="15" t="n">
        <v>12</v>
      </c>
      <c r="N19" s="15" t="n">
        <v>470.5</v>
      </c>
      <c r="O19" s="15" t="n">
        <v>0.71</v>
      </c>
    </row>
    <row r="20">
      <c r="A20" s="7" t="inlineStr">
        <is>
          <t>SOUTHERN MAGNOLIA</t>
        </is>
      </c>
      <c r="B20" s="31" t="inlineStr">
        <is>
          <t>Priority 4</t>
        </is>
      </c>
      <c r="C20" s="20" t="n">
        <v>558</v>
      </c>
      <c r="D20" s="7" t="inlineStr">
        <is>
          <t>COAST LIVE OAK</t>
        </is>
      </c>
      <c r="E20" s="20" t="n">
        <v>558</v>
      </c>
      <c r="F20" s="20" t="n">
        <v>20</v>
      </c>
      <c r="G20" s="20" t="n">
        <v>25</v>
      </c>
      <c r="H20" s="24" t="n">
        <v>390600</v>
      </c>
      <c r="I20" s="24" t="n">
        <v>223200</v>
      </c>
      <c r="J20" s="24" t="n">
        <v>78120</v>
      </c>
      <c r="K20" s="24" t="n">
        <v>92070</v>
      </c>
      <c r="L20" s="24" t="n">
        <v>783990</v>
      </c>
      <c r="M20" s="21" t="n">
        <v>14.9</v>
      </c>
      <c r="N20" s="21" t="n">
        <v>108.4</v>
      </c>
      <c r="O20" s="21" t="n">
        <v>0.62</v>
      </c>
    </row>
    <row r="21">
      <c r="A21" s="5" t="inlineStr">
        <is>
          <t>STONE FRUIT SPECIES</t>
        </is>
      </c>
      <c r="B21" s="31" t="inlineStr">
        <is>
          <t>Priority 4</t>
        </is>
      </c>
      <c r="C21" s="14" t="n">
        <v>9</v>
      </c>
      <c r="D21" s="5" t="inlineStr">
        <is>
          <t>VALLEY OAK</t>
        </is>
      </c>
      <c r="E21" s="14" t="n">
        <v>10</v>
      </c>
      <c r="F21" s="14" t="n">
        <v>6</v>
      </c>
      <c r="G21" s="14" t="n">
        <v>8</v>
      </c>
      <c r="H21" s="18" t="n">
        <v>7000</v>
      </c>
      <c r="I21" s="18" t="n">
        <v>4000</v>
      </c>
      <c r="J21" s="18" t="n">
        <v>1400</v>
      </c>
      <c r="K21" s="18" t="n">
        <v>1650</v>
      </c>
      <c r="L21" s="18" t="n">
        <v>14050</v>
      </c>
      <c r="M21" s="15" t="n">
        <v>16.9</v>
      </c>
      <c r="N21" s="15" t="n">
        <v>715</v>
      </c>
      <c r="O21" s="15" t="n">
        <v>0.77</v>
      </c>
    </row>
    <row r="22">
      <c r="A22" s="7" t="inlineStr">
        <is>
          <t>WHITE ALDER</t>
        </is>
      </c>
      <c r="B22" s="31" t="inlineStr">
        <is>
          <t>Priority 4</t>
        </is>
      </c>
      <c r="C22" s="20" t="n">
        <v>24</v>
      </c>
      <c r="D22" s="7" t="inlineStr">
        <is>
          <t>VALLEY OAK</t>
        </is>
      </c>
      <c r="E22" s="20" t="n">
        <v>24</v>
      </c>
      <c r="F22" s="20" t="n">
        <v>4</v>
      </c>
      <c r="G22" s="20" t="n">
        <v>25</v>
      </c>
      <c r="H22" s="24" t="n">
        <v>16800</v>
      </c>
      <c r="I22" s="24" t="n">
        <v>9600</v>
      </c>
      <c r="J22" s="24" t="n">
        <v>3360</v>
      </c>
      <c r="K22" s="24" t="n">
        <v>3960</v>
      </c>
      <c r="L22" s="24" t="n">
        <v>33720</v>
      </c>
      <c r="M22" s="21" t="n">
        <v>18.7</v>
      </c>
      <c r="N22" s="21" t="n">
        <v>543.9</v>
      </c>
      <c r="O22" s="21" t="n">
        <v>0.8100000000000001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30" customWidth="1" min="4" max="4"/>
  </cols>
  <sheetData>
    <row r="1" ht="18" customHeight="1">
      <c r="A1" s="3" t="inlineStr">
        <is>
          <t xml:space="preserve">  Budget &amp; Cost Assumptions  (update B-column to recalculate)</t>
        </is>
      </c>
    </row>
    <row r="2" ht="22" customHeight="1">
      <c r="A2" s="4" t="inlineStr">
        <is>
          <t>Parameter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Notes</t>
        </is>
      </c>
    </row>
    <row r="3">
      <c r="A3" s="5" t="inlineStr">
        <is>
          <t>Annual Urban Forestry Budget</t>
        </is>
      </c>
      <c r="B3" s="32" t="n">
        <v>650000</v>
      </c>
      <c r="C3" s="5" t="inlineStr">
        <is>
          <t>$</t>
        </is>
      </c>
      <c r="D3" s="5" t="inlineStr">
        <is>
          <t>Total allocated per year</t>
        </is>
      </c>
    </row>
    <row r="4">
      <c r="A4" s="7" t="inlineStr">
        <is>
          <t>Cost per Tree Removal</t>
        </is>
      </c>
      <c r="B4" s="32" t="n">
        <v>700</v>
      </c>
      <c r="C4" s="7" t="inlineStr">
        <is>
          <t>$/tree</t>
        </is>
      </c>
      <c r="D4" s="7" t="inlineStr">
        <is>
          <t>Includes stump grinding</t>
        </is>
      </c>
    </row>
    <row r="5">
      <c r="A5" s="5" t="inlineStr">
        <is>
          <t>Cost per New Tree Planting</t>
        </is>
      </c>
      <c r="B5" s="32" t="n">
        <v>400</v>
      </c>
      <c r="C5" s="5" t="inlineStr">
        <is>
          <t>$/tree</t>
        </is>
      </c>
      <c r="D5" s="5" t="inlineStr">
        <is>
          <t>Standard parkway planting</t>
        </is>
      </c>
    </row>
    <row r="6">
      <c r="A6" s="7" t="inlineStr">
        <is>
          <t>Cost per Large Tree Planting</t>
        </is>
      </c>
      <c r="B6" s="32" t="n">
        <v>900</v>
      </c>
      <c r="C6" s="7" t="inlineStr">
        <is>
          <t>$/tree</t>
        </is>
      </c>
      <c r="D6" s="7" t="inlineStr">
        <is>
          <t>Specimen / 36-inch box</t>
        </is>
      </c>
    </row>
    <row r="7">
      <c r="A7" s="5" t="inlineStr">
        <is>
          <t>Cost — Watering (first 3 yrs)</t>
        </is>
      </c>
      <c r="B7" s="32" t="n">
        <v>140</v>
      </c>
      <c r="C7" s="5" t="inlineStr">
        <is>
          <t>$/tree</t>
        </is>
      </c>
      <c r="D7" s="5" t="inlineStr">
        <is>
          <t>Establishment irrigation</t>
        </is>
      </c>
    </row>
    <row r="8">
      <c r="A8" s="7" t="inlineStr">
        <is>
          <t>Cost per Tree Maintenance (p.a.)</t>
        </is>
      </c>
      <c r="B8" s="32" t="n">
        <v>95</v>
      </c>
      <c r="C8" s="7" t="inlineStr">
        <is>
          <t>$/tree/yr</t>
        </is>
      </c>
      <c r="D8" s="7" t="inlineStr">
        <is>
          <t>Pruning, inspection</t>
        </is>
      </c>
    </row>
    <row r="9">
      <c r="A9" s="5" t="inlineStr">
        <is>
          <t>Replanting Overhead %</t>
        </is>
      </c>
      <c r="B9" s="33" t="n">
        <v>0.15</v>
      </c>
      <c r="C9" s="5" t="inlineStr">
        <is>
          <t>%</t>
        </is>
      </c>
      <c r="D9" s="5" t="inlineStr">
        <is>
          <t>Admin, permits, site prep</t>
        </is>
      </c>
    </row>
    <row r="10">
      <c r="A10" s="7" t="inlineStr">
        <is>
          <t>Replacement Rate</t>
        </is>
      </c>
      <c r="B10" s="33" t="n">
        <v>0.6</v>
      </c>
      <c r="C10" s="7" t="inlineStr">
        <is>
          <t>%</t>
        </is>
      </c>
      <c r="D10" s="7" t="inlineStr">
        <is>
          <t>Fraction of at-risk trees replaced</t>
        </is>
      </c>
    </row>
    <row r="11">
      <c r="A11" s="5" t="inlineStr">
        <is>
          <t>Simulation Horizon</t>
        </is>
      </c>
      <c r="B11" s="34" t="n">
        <v>25</v>
      </c>
      <c r="C11" s="5" t="inlineStr">
        <is>
          <t>years</t>
        </is>
      </c>
      <c r="D11" s="5" t="inlineStr"/>
    </row>
    <row r="12">
      <c r="A12" s="7" t="inlineStr">
        <is>
          <t>Max Swap Actions per Year</t>
        </is>
      </c>
      <c r="B12" s="34" t="n">
        <v>5</v>
      </c>
      <c r="C12" s="7" t="inlineStr">
        <is>
          <t>—</t>
        </is>
      </c>
      <c r="D12" s="7" t="inlineStr">
        <is>
          <t>RL scheduler cap</t>
        </is>
      </c>
    </row>
    <row r="13">
      <c r="A13" s="5" t="inlineStr">
        <is>
          <t>Climate Temp (Current)</t>
        </is>
      </c>
      <c r="B13" s="34" t="n">
        <v>76</v>
      </c>
      <c r="C13" s="5" t="inlineStr">
        <is>
          <t>°F</t>
        </is>
      </c>
      <c r="D13" s="5" t="inlineStr">
        <is>
          <t>Baseline for scoring</t>
        </is>
      </c>
    </row>
    <row r="14">
      <c r="A14" s="7" t="inlineStr">
        <is>
          <t>Climate Temp (2050 Projection)</t>
        </is>
      </c>
      <c r="B14" s="34" t="n">
        <v>80.40000000000001</v>
      </c>
      <c r="C14" s="7" t="inlineStr">
        <is>
          <t>°F</t>
        </is>
      </c>
      <c r="D14" s="7" t="inlineStr">
        <is>
          <t>Used in resilience scoring</t>
        </is>
      </c>
    </row>
    <row r="15">
      <c r="A15" s="5" t="inlineStr">
        <is>
          <t>Climate Rainfall (Current)</t>
        </is>
      </c>
      <c r="B15" s="34" t="n">
        <v>15.5</v>
      </c>
      <c r="C15" s="5" t="inlineStr">
        <is>
          <t>in/yr</t>
        </is>
      </c>
      <c r="D15" s="5" t="inlineStr"/>
    </row>
    <row r="16">
      <c r="A16" s="7" t="inlineStr">
        <is>
          <t>Climate Rainfall (2050)</t>
        </is>
      </c>
      <c r="B16" s="34" t="n">
        <v>13.2</v>
      </c>
      <c r="C16" s="7" t="inlineStr">
        <is>
          <t>in/yr</t>
        </is>
      </c>
      <c r="D16" s="7" t="inlineStr"/>
    </row>
    <row r="19" ht="30" customHeight="1">
      <c r="A19" s="35" t="inlineStr">
        <is>
          <t>ℹ  Blue cells = hardcoded inputs from CITY_BUDGET. All cost totals on other sheets are derived from these values. Source: city-supplied budget parameters, STARS scoring model (Anthropic/GNN pipeline).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1" customWidth="1" min="4" max="4"/>
    <col width="23" customWidth="1" min="5" max="5"/>
    <col width="20" customWidth="1" min="6" max="6"/>
    <col width="21" customWidth="1" min="7" max="7"/>
    <col width="23" customWidth="1" min="8" max="8"/>
    <col width="22" customWidth="1" min="9" max="9"/>
    <col width="21" customWidth="1" min="10" max="10"/>
  </cols>
  <sheetData>
    <row r="1" ht="18" customHeight="1">
      <c r="A1" s="3" t="inlineStr">
        <is>
          <t xml:space="preserve">  Milpitas  ·  Cumulative Performance Metrics (chart-ready)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Cumul. STARS Gain</t>
        </is>
      </c>
      <c r="D2" s="13" t="inlineStr">
        <is>
          <t>Trees Replaced (yr)</t>
        </is>
      </c>
      <c r="E2" s="13" t="inlineStr">
        <is>
          <t>Cumul. Trees Replaced</t>
        </is>
      </c>
      <c r="F2" s="13" t="inlineStr">
        <is>
          <t>Annual Cost ($)</t>
        </is>
      </c>
      <c r="G2" s="13" t="inlineStr">
        <is>
          <t>Cumulative Cost ($)</t>
        </is>
      </c>
      <c r="H2" s="13" t="inlineStr">
        <is>
          <t>Avg CO₂ (lbs/tree/yr)</t>
        </is>
      </c>
      <c r="I2" s="13" t="inlineStr">
        <is>
          <t>Avg AQ (lbs/tree/yr)</t>
        </is>
      </c>
      <c r="J2" s="13" t="inlineStr">
        <is>
          <t>% Swaps Done</t>
        </is>
      </c>
    </row>
    <row r="3">
      <c r="A3" s="14" t="n">
        <v>1</v>
      </c>
      <c r="B3" s="15" t="n">
        <v>43.22298270893371</v>
      </c>
      <c r="C3" s="15" t="n">
        <v>1.985704994201662</v>
      </c>
      <c r="D3" s="14" t="n">
        <v>270</v>
      </c>
      <c r="E3" s="14" t="n">
        <v>270</v>
      </c>
      <c r="F3" s="18" t="n">
        <v>1267356.926359898</v>
      </c>
      <c r="G3" s="18" t="n">
        <v>1267356.926359898</v>
      </c>
      <c r="H3" s="15" t="n">
        <v>343.1801873198847</v>
      </c>
      <c r="I3" s="15" t="n">
        <v>22.42769272334294</v>
      </c>
      <c r="J3" s="17" t="n">
        <v>0.08378374576568604</v>
      </c>
    </row>
    <row r="4">
      <c r="A4" s="20" t="n">
        <v>2</v>
      </c>
      <c r="B4" s="21" t="n">
        <v>43.42138241201642</v>
      </c>
      <c r="C4" s="21" t="n">
        <v>2.184104697284376</v>
      </c>
      <c r="D4" s="20" t="n">
        <v>133</v>
      </c>
      <c r="E4" s="20" t="n">
        <v>403</v>
      </c>
      <c r="F4" s="24" t="n">
        <v>1074871.926359898</v>
      </c>
      <c r="G4" s="24" t="n">
        <v>2342228.852719795</v>
      </c>
      <c r="H4" s="21" t="n">
        <v>343.7511163508282</v>
      </c>
      <c r="I4" s="21" t="n">
        <v>22.53875835079906</v>
      </c>
      <c r="J4" s="23" t="n">
        <v>0.1499999761581421</v>
      </c>
    </row>
    <row r="5">
      <c r="A5" s="14" t="n">
        <v>3</v>
      </c>
      <c r="B5" s="15" t="n">
        <v>43.6451520688739</v>
      </c>
      <c r="C5" s="15" t="n">
        <v>2.407874354141853</v>
      </c>
      <c r="D5" s="14" t="n">
        <v>28</v>
      </c>
      <c r="E5" s="14" t="n">
        <v>431</v>
      </c>
      <c r="F5" s="18" t="n">
        <v>927346.9263598977</v>
      </c>
      <c r="G5" s="18" t="n">
        <v>3269575.779079693</v>
      </c>
      <c r="H5" s="15" t="n">
        <v>344.4497384905815</v>
      </c>
      <c r="I5" s="15" t="n">
        <v>22.40295071898607</v>
      </c>
      <c r="J5" s="17" t="n">
        <v>0.2179166674613953</v>
      </c>
    </row>
    <row r="6">
      <c r="A6" s="20" t="n">
        <v>4</v>
      </c>
      <c r="B6" s="21" t="n">
        <v>45.23247766142565</v>
      </c>
      <c r="C6" s="21" t="n">
        <v>3.99519994669361</v>
      </c>
      <c r="D6" s="20" t="n">
        <v>47</v>
      </c>
      <c r="E6" s="20" t="n">
        <v>478</v>
      </c>
      <c r="F6" s="24" t="n">
        <v>954041.9263598977</v>
      </c>
      <c r="G6" s="24" t="n">
        <v>4223617.705439591</v>
      </c>
      <c r="H6" s="21" t="n">
        <v>348.6189872858508</v>
      </c>
      <c r="I6" s="21" t="n">
        <v>21.08851793278974</v>
      </c>
      <c r="J6" s="23" t="n">
        <v>0.2672762870788574</v>
      </c>
    </row>
    <row r="7">
      <c r="A7" s="14" t="n">
        <v>5</v>
      </c>
      <c r="B7" s="15" t="n">
        <v>45.75804974694689</v>
      </c>
      <c r="C7" s="15" t="n">
        <v>4.520772032214843</v>
      </c>
      <c r="D7" s="14" t="n">
        <v>462</v>
      </c>
      <c r="E7" s="14" t="n">
        <v>940</v>
      </c>
      <c r="F7" s="18" t="n">
        <v>1537116.926359898</v>
      </c>
      <c r="G7" s="18" t="n">
        <v>5760734.631799488</v>
      </c>
      <c r="H7" s="15" t="n">
        <v>353.9676819856676</v>
      </c>
      <c r="I7" s="15" t="n">
        <v>21.31239200454506</v>
      </c>
      <c r="J7" s="17" t="n">
        <v>0.3247957825660706</v>
      </c>
    </row>
    <row r="8">
      <c r="A8" s="20" t="n">
        <v>6</v>
      </c>
      <c r="B8" s="21" t="n">
        <v>46.02902821550442</v>
      </c>
      <c r="C8" s="21" t="n">
        <v>4.791750500772373</v>
      </c>
      <c r="D8" s="20" t="n">
        <v>88</v>
      </c>
      <c r="E8" s="20" t="n">
        <v>1028</v>
      </c>
      <c r="F8" s="24" t="n">
        <v>1011646.926359898</v>
      </c>
      <c r="G8" s="24" t="n">
        <v>6772381.558159386</v>
      </c>
      <c r="H8" s="21" t="n">
        <v>356.5308572329055</v>
      </c>
      <c r="I8" s="21" t="n">
        <v>21.42127017963614</v>
      </c>
      <c r="J8" s="23" t="n">
        <v>0.4076389074325562</v>
      </c>
    </row>
    <row r="9">
      <c r="A9" s="14" t="n">
        <v>7</v>
      </c>
      <c r="B9" s="15" t="n">
        <v>47.57357309402514</v>
      </c>
      <c r="C9" s="15" t="n">
        <v>6.336295379293098</v>
      </c>
      <c r="D9" s="14" t="n">
        <v>140</v>
      </c>
      <c r="E9" s="14" t="n">
        <v>1168</v>
      </c>
      <c r="F9" s="18" t="n">
        <v>1084706.926359898</v>
      </c>
      <c r="G9" s="18" t="n">
        <v>7857088.484519283</v>
      </c>
      <c r="H9" s="15" t="n">
        <v>372.7481054446416</v>
      </c>
      <c r="I9" s="15" t="n">
        <v>21.69757677681603</v>
      </c>
      <c r="J9" s="17" t="n">
        <v>0.4522695541381836</v>
      </c>
    </row>
    <row r="10">
      <c r="A10" s="20" t="n">
        <v>8</v>
      </c>
      <c r="B10" s="21" t="n">
        <v>49.23351866229536</v>
      </c>
      <c r="C10" s="21" t="n">
        <v>7.996240947563315</v>
      </c>
      <c r="D10" s="20" t="n">
        <v>10</v>
      </c>
      <c r="E10" s="20" t="n">
        <v>1178</v>
      </c>
      <c r="F10" s="24" t="n">
        <v>902056.9263598977</v>
      </c>
      <c r="G10" s="24" t="n">
        <v>8759145.410879182</v>
      </c>
      <c r="H10" s="21" t="n">
        <v>381.4608775715344</v>
      </c>
      <c r="I10" s="21" t="n">
        <v>21.94514757033428</v>
      </c>
      <c r="J10" s="23" t="n">
        <v>0.5198915600776672</v>
      </c>
    </row>
    <row r="11">
      <c r="A11" s="14" t="n">
        <v>9</v>
      </c>
      <c r="B11" s="15" t="n">
        <v>51.03828879273519</v>
      </c>
      <c r="C11" s="15" t="n">
        <v>9.80101107800315</v>
      </c>
      <c r="D11" s="14" t="n">
        <v>1</v>
      </c>
      <c r="E11" s="14" t="n">
        <v>1179</v>
      </c>
      <c r="F11" s="18" t="n">
        <v>889411.9263598977</v>
      </c>
      <c r="G11" s="18" t="n">
        <v>9648557.337239079</v>
      </c>
      <c r="H11" s="15" t="n">
        <v>397.3319716834424</v>
      </c>
      <c r="I11" s="15" t="n">
        <v>21.93834567285774</v>
      </c>
      <c r="J11" s="17" t="n">
        <v>0.541933536529541</v>
      </c>
    </row>
    <row r="12">
      <c r="A12" s="20" t="n">
        <v>10</v>
      </c>
      <c r="B12" s="21" t="n">
        <v>52.86423995667679</v>
      </c>
      <c r="C12" s="21" t="n">
        <v>11.62696224194475</v>
      </c>
      <c r="D12" s="20" t="n">
        <v>180</v>
      </c>
      <c r="E12" s="20" t="n">
        <v>1359</v>
      </c>
      <c r="F12" s="24" t="n">
        <v>1140906.926359898</v>
      </c>
      <c r="G12" s="24" t="n">
        <v>10789464.26359898</v>
      </c>
      <c r="H12" s="21" t="n">
        <v>413.3893311653407</v>
      </c>
      <c r="I12" s="21" t="n">
        <v>21.9314639473655</v>
      </c>
      <c r="J12" s="23" t="n">
        <v>0.5639755129814148</v>
      </c>
    </row>
    <row r="13">
      <c r="A13" s="14" t="n">
        <v>11</v>
      </c>
      <c r="B13" s="15" t="n">
        <v>54.64746048050341</v>
      </c>
      <c r="C13" s="15" t="n">
        <v>13.41018276577137</v>
      </c>
      <c r="D13" s="14" t="n">
        <v>357</v>
      </c>
      <c r="E13" s="14" t="n">
        <v>1716</v>
      </c>
      <c r="F13" s="18" t="n">
        <v>1389591.926359898</v>
      </c>
      <c r="G13" s="18" t="n">
        <v>12179056.18995887</v>
      </c>
      <c r="H13" s="15" t="n">
        <v>414.6936805967015</v>
      </c>
      <c r="I13" s="15" t="n">
        <v>22.52704517207873</v>
      </c>
      <c r="J13" s="17" t="n">
        <v>0.6007309556007385</v>
      </c>
    </row>
    <row r="14">
      <c r="A14" s="20" t="n">
        <v>12</v>
      </c>
      <c r="B14" s="21" t="n">
        <v>55.39768129987833</v>
      </c>
      <c r="C14" s="21" t="n">
        <v>14.16040358514628</v>
      </c>
      <c r="D14" s="20" t="n">
        <v>595</v>
      </c>
      <c r="E14" s="20" t="n">
        <v>2311</v>
      </c>
      <c r="F14" s="24" t="n">
        <v>1723981.926359898</v>
      </c>
      <c r="G14" s="24" t="n">
        <v>13903038.11631877</v>
      </c>
      <c r="H14" s="21" t="n">
        <v>407.8112241047368</v>
      </c>
      <c r="I14" s="21" t="n">
        <v>22.7219372051658</v>
      </c>
      <c r="J14" s="23" t="n">
        <v>0.6355046033859253</v>
      </c>
    </row>
    <row r="15">
      <c r="A15" s="14" t="n">
        <v>13</v>
      </c>
      <c r="B15" s="15" t="n">
        <v>57.44252170298041</v>
      </c>
      <c r="C15" s="15" t="n">
        <v>16.20524398824837</v>
      </c>
      <c r="D15" s="14" t="n">
        <v>697</v>
      </c>
      <c r="E15" s="14" t="n">
        <v>3008</v>
      </c>
      <c r="F15" s="18" t="n">
        <v>1867291.926359898</v>
      </c>
      <c r="G15" s="18" t="n">
        <v>15770330.04267867</v>
      </c>
      <c r="H15" s="15" t="n">
        <v>404.4002140016623</v>
      </c>
      <c r="I15" s="15" t="n">
        <v>22.83599044029415</v>
      </c>
      <c r="J15" s="17" t="n">
        <v>0.6821348071098328</v>
      </c>
    </row>
    <row r="16">
      <c r="A16" s="20" t="n">
        <v>14</v>
      </c>
      <c r="B16" s="21" t="n">
        <v>59.60042611318979</v>
      </c>
      <c r="C16" s="21" t="n">
        <v>18.36314839845775</v>
      </c>
      <c r="D16" s="20" t="n">
        <v>1</v>
      </c>
      <c r="E16" s="20" t="n">
        <v>3009</v>
      </c>
      <c r="F16" s="24" t="n">
        <v>889411.9263598977</v>
      </c>
      <c r="G16" s="24" t="n">
        <v>16659741.96903857</v>
      </c>
      <c r="H16" s="21" t="n">
        <v>431.6509823069293</v>
      </c>
      <c r="I16" s="21" t="n">
        <v>22.01088100844398</v>
      </c>
      <c r="J16" s="23" t="n">
        <v>0.7118645310401917</v>
      </c>
    </row>
    <row r="17">
      <c r="A17" s="14" t="n">
        <v>15</v>
      </c>
      <c r="B17" s="15" t="n">
        <v>61.4072773597542</v>
      </c>
      <c r="C17" s="15" t="n">
        <v>20.16999964502216</v>
      </c>
      <c r="D17" s="14" t="n">
        <v>338</v>
      </c>
      <c r="E17" s="14" t="n">
        <v>3347</v>
      </c>
      <c r="F17" s="18" t="n">
        <v>1362896.926359898</v>
      </c>
      <c r="G17" s="18" t="n">
        <v>18022638.89539846</v>
      </c>
      <c r="H17" s="15" t="n">
        <v>438.8487537121334</v>
      </c>
      <c r="I17" s="15" t="n">
        <v>22.35936621982358</v>
      </c>
      <c r="J17" s="17" t="n">
        <v>0.7505600452423096</v>
      </c>
    </row>
    <row r="18">
      <c r="A18" s="20" t="n">
        <v>16</v>
      </c>
      <c r="B18" s="21" t="n">
        <v>62.22182796117497</v>
      </c>
      <c r="C18" s="21" t="n">
        <v>20.98455024644292</v>
      </c>
      <c r="D18" s="20" t="n">
        <v>56</v>
      </c>
      <c r="E18" s="20" t="n">
        <v>3403</v>
      </c>
      <c r="F18" s="24" t="n">
        <v>966686.9263598977</v>
      </c>
      <c r="G18" s="24" t="n">
        <v>18989325.82175836</v>
      </c>
      <c r="H18" s="21" t="n">
        <v>439.3378734007065</v>
      </c>
      <c r="I18" s="21" t="n">
        <v>22.75349957079966</v>
      </c>
      <c r="J18" s="23" t="n">
        <v>0.800000011920929</v>
      </c>
    </row>
    <row r="19">
      <c r="A19" s="14" t="n">
        <v>17</v>
      </c>
      <c r="B19" s="15" t="n">
        <v>62.221827961175</v>
      </c>
      <c r="C19" s="15" t="n">
        <v>20.98455024644296</v>
      </c>
      <c r="D19" s="14" t="n">
        <v>0</v>
      </c>
      <c r="E19" s="14" t="n">
        <v>3403</v>
      </c>
      <c r="F19" s="18" t="n">
        <v>888006.9263598977</v>
      </c>
      <c r="G19" s="18" t="n">
        <v>19877332.74811826</v>
      </c>
      <c r="H19" s="15" t="n">
        <v>439.3378734007067</v>
      </c>
      <c r="I19" s="15" t="n">
        <v>22.75349957079966</v>
      </c>
      <c r="J19" s="17" t="n">
        <v>0.800000011920929</v>
      </c>
    </row>
    <row r="20">
      <c r="A20" s="20" t="n">
        <v>18</v>
      </c>
      <c r="B20" s="21" t="n">
        <v>63.2389704691494</v>
      </c>
      <c r="C20" s="21" t="n">
        <v>22.00169275441736</v>
      </c>
      <c r="D20" s="20" t="n">
        <v>380</v>
      </c>
      <c r="E20" s="20" t="n">
        <v>3783</v>
      </c>
      <c r="F20" s="24" t="n">
        <v>1421906.926359898</v>
      </c>
      <c r="G20" s="24" t="n">
        <v>21299239.67447816</v>
      </c>
      <c r="H20" s="21" t="n">
        <v>449.488444324606</v>
      </c>
      <c r="I20" s="21" t="n">
        <v>21.88870111883919</v>
      </c>
      <c r="J20" s="23" t="n">
        <v>0.8857142925262451</v>
      </c>
    </row>
    <row r="21">
      <c r="A21" s="14" t="n">
        <v>19</v>
      </c>
      <c r="B21" s="15" t="n">
        <v>64.1606900941059</v>
      </c>
      <c r="C21" s="15" t="n">
        <v>22.92341237937386</v>
      </c>
      <c r="D21" s="14" t="n">
        <v>671</v>
      </c>
      <c r="E21" s="14" t="n">
        <v>4454</v>
      </c>
      <c r="F21" s="18" t="n">
        <v>1830761.926359898</v>
      </c>
      <c r="G21" s="18" t="n">
        <v>23130001.60083806</v>
      </c>
      <c r="H21" s="15" t="n">
        <v>459.8080688035039</v>
      </c>
      <c r="I21" s="15" t="n">
        <v>22.03399150460577</v>
      </c>
      <c r="J21" s="17" t="n">
        <v>0.965570867061615</v>
      </c>
    </row>
    <row r="22">
      <c r="A22" s="20" t="n">
        <v>20</v>
      </c>
      <c r="B22" s="21" t="n">
        <v>65.21425726211318</v>
      </c>
      <c r="C22" s="21" t="n">
        <v>23.97697954738113</v>
      </c>
      <c r="D22" s="20" t="n">
        <v>294</v>
      </c>
      <c r="E22" s="20" t="n">
        <v>4748</v>
      </c>
      <c r="F22" s="24" t="n">
        <v>1301076.926359898</v>
      </c>
      <c r="G22" s="24" t="n">
        <v>24431078.52719796</v>
      </c>
      <c r="H22" s="21" t="n">
        <v>471.4171115457195</v>
      </c>
      <c r="I22" s="21" t="n">
        <v>21.94804260405781</v>
      </c>
      <c r="J22" s="23" t="n">
        <v>0.9988095164299011</v>
      </c>
    </row>
    <row r="23">
      <c r="A23" s="14" t="n">
        <v>21</v>
      </c>
      <c r="B23" s="15" t="n">
        <v>65.21425726211318</v>
      </c>
      <c r="C23" s="15" t="n">
        <v>23.97697954738113</v>
      </c>
      <c r="D23" s="14" t="n">
        <v>0</v>
      </c>
      <c r="E23" s="14" t="n">
        <v>4748</v>
      </c>
      <c r="F23" s="18" t="n">
        <v>888006.9263598977</v>
      </c>
      <c r="G23" s="18" t="n">
        <v>25319085.45355786</v>
      </c>
      <c r="H23" s="15" t="n">
        <v>471.4171115457194</v>
      </c>
      <c r="I23" s="15" t="n">
        <v>21.9480426040578</v>
      </c>
      <c r="J23" s="17" t="n">
        <v>0.9988095164299011</v>
      </c>
    </row>
    <row r="24">
      <c r="A24" s="20" t="n">
        <v>22</v>
      </c>
      <c r="B24" s="21" t="n">
        <v>65.21425726211322</v>
      </c>
      <c r="C24" s="21" t="n">
        <v>23.97697954738118</v>
      </c>
      <c r="D24" s="20" t="n">
        <v>0</v>
      </c>
      <c r="E24" s="20" t="n">
        <v>4748</v>
      </c>
      <c r="F24" s="24" t="n">
        <v>888006.9263598977</v>
      </c>
      <c r="G24" s="24" t="n">
        <v>26207092.37991776</v>
      </c>
      <c r="H24" s="21" t="n">
        <v>471.4171115457195</v>
      </c>
      <c r="I24" s="21" t="n">
        <v>21.9480426040578</v>
      </c>
      <c r="J24" s="23" t="n">
        <v>0.9988095164299011</v>
      </c>
    </row>
    <row r="25">
      <c r="A25" s="14" t="n">
        <v>23</v>
      </c>
      <c r="B25" s="15" t="n">
        <v>65.21425726211319</v>
      </c>
      <c r="C25" s="15" t="n">
        <v>23.97697954738115</v>
      </c>
      <c r="D25" s="14" t="n">
        <v>0</v>
      </c>
      <c r="E25" s="14" t="n">
        <v>4748</v>
      </c>
      <c r="F25" s="18" t="n">
        <v>888006.9263598977</v>
      </c>
      <c r="G25" s="18" t="n">
        <v>27095099.30627766</v>
      </c>
      <c r="H25" s="15" t="n">
        <v>471.4171115457194</v>
      </c>
      <c r="I25" s="15" t="n">
        <v>21.94804260405781</v>
      </c>
      <c r="J25" s="17" t="n">
        <v>0.9988095164299011</v>
      </c>
    </row>
    <row r="26">
      <c r="A26" s="20" t="n">
        <v>24</v>
      </c>
      <c r="B26" s="21" t="n">
        <v>65.21425726211319</v>
      </c>
      <c r="C26" s="21" t="n">
        <v>23.97697954738115</v>
      </c>
      <c r="D26" s="20" t="n">
        <v>0</v>
      </c>
      <c r="E26" s="20" t="n">
        <v>4748</v>
      </c>
      <c r="F26" s="24" t="n">
        <v>888006.9263598977</v>
      </c>
      <c r="G26" s="24" t="n">
        <v>27983106.23263756</v>
      </c>
      <c r="H26" s="21" t="n">
        <v>471.4171115457195</v>
      </c>
      <c r="I26" s="21" t="n">
        <v>21.9480426040578</v>
      </c>
      <c r="J26" s="23" t="n">
        <v>0.9988095164299011</v>
      </c>
    </row>
    <row r="27">
      <c r="A27" s="14" t="n">
        <v>25</v>
      </c>
      <c r="B27" s="15" t="n">
        <v>65.21425726211319</v>
      </c>
      <c r="C27" s="15" t="n">
        <v>23.97697954738115</v>
      </c>
      <c r="D27" s="14" t="n">
        <v>1246</v>
      </c>
      <c r="E27" s="14" t="n">
        <v>5994</v>
      </c>
      <c r="F27" s="18" t="n">
        <v>2638636.926359897</v>
      </c>
      <c r="G27" s="18" t="n">
        <v>30621743.15899745</v>
      </c>
      <c r="H27" s="15" t="n">
        <v>471.4171115457194</v>
      </c>
      <c r="I27" s="15" t="n">
        <v>21.9480426040578</v>
      </c>
      <c r="J27" s="17" t="n">
        <v>0.9988095164299011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2026-08-01T18:53:28Z</dcterms:created>
  <dcterms:modified xmlns:dcterms="http://purl.org/dc/terms/" xmlns:xsi="http://www.w3.org/2001/XMLSchema-instance" xsi:type="dcterms:W3CDTF">2026-08-01T18:53:28Z</dcterms:modified>
</cp:coreProperties>
</file>