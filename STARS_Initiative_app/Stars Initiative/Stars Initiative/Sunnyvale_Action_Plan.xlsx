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-by-Year Plan" sheetId="2" state="visible" r:id="rId2"/>
    <sheet xmlns:r="http://schemas.openxmlformats.org/officeDocument/2006/relationships" name="Species Swap Detail" sheetId="3" state="visible" r:id="rId3"/>
    <sheet xmlns:r="http://schemas.openxmlformats.org/officeDocument/2006/relationships" name="Budget Assumptions" sheetId="4" state="visible" r:id="rId4"/>
    <sheet xmlns:r="http://schemas.openxmlformats.org/officeDocument/2006/relationships" name="Cumulativ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527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39C12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471A3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6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Sunnyvale — STARS Score Trajectory (25 Years)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 Metrics'!B2</f>
            </strRef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 Metrics'!$A$3:$A$26</f>
            </numRef>
          </cat>
          <val>
            <numRef>
              <f>'Cumulative Metrics'!$B$3:$B$26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Sunnyvale — Annual Programme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 Metrics'!F2</f>
            </strRef>
          </tx>
          <spPr>
            <a:solidFill xmlns:a="http://schemas.openxmlformats.org/drawingml/2006/main">
              <a:srgbClr val="1A5276"/>
            </a:solidFill>
            <a:ln xmlns:a="http://schemas.openxmlformats.org/drawingml/2006/main">
              <a:prstDash val="solid"/>
            </a:ln>
          </spPr>
          <cat>
            <numRef>
              <f>'Cumulative Metrics'!$A$3:$A$26</f>
            </numRef>
          </cat>
          <val>
            <numRef>
              <f>'Cumulative Metrics'!$F$3:$F$26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</cols>
  <sheetData>
    <row r="1" ht="36" customHeight="1">
      <c r="A1" s="1" t="inlineStr">
        <is>
          <t>🌳  Sunnyvale Urban Forest — 25-Year Action Plan</t>
        </is>
      </c>
    </row>
    <row r="2" ht="16" customHeight="1">
      <c r="A2" s="2" t="inlineStr">
        <is>
          <t>GNN-Optimised · RL Swap Scheduler · Budget: $500,000/yr · Replacement Rate: 60%</t>
        </is>
      </c>
    </row>
    <row r="3"/>
    <row r="4" ht="18" customHeight="1">
      <c r="A4" s="3" t="inlineStr">
        <is>
          <t xml:space="preserve">  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vs Baseline / Notes</t>
        </is>
      </c>
      <c r="D5" s="4" t="inlineStr"/>
    </row>
    <row r="6">
      <c r="A6" s="5" t="inlineStr">
        <is>
          <t>Current STARS Score</t>
        </is>
      </c>
      <c r="B6" s="6" t="inlineStr">
        <is>
          <t>43.79</t>
        </is>
      </c>
      <c r="C6" s="5" t="inlineStr">
        <is>
          <t>Year 1 starting score</t>
        </is>
      </c>
      <c r="D6" s="5" t="inlineStr"/>
    </row>
    <row r="7">
      <c r="A7" s="7" t="inlineStr">
        <is>
          <t>Projected Year-25 STARS</t>
        </is>
      </c>
      <c r="B7" s="8" t="inlineStr">
        <is>
          <t>65.27</t>
        </is>
      </c>
      <c r="C7" s="7" t="inlineStr">
        <is>
          <t>RL-optimised endpoint</t>
        </is>
      </c>
      <c r="D7" s="7" t="inlineStr"/>
    </row>
    <row r="8">
      <c r="A8" s="5" t="inlineStr">
        <is>
          <t>Total STARS Uplift</t>
        </is>
      </c>
      <c r="B8" s="6" t="inlineStr">
        <is>
          <t>+21.48 pts</t>
        </is>
      </c>
      <c r="C8" s="5" t="inlineStr">
        <is>
          <t>Net improvement</t>
        </is>
      </c>
      <c r="D8" s="5" t="inlineStr"/>
    </row>
    <row r="9">
      <c r="A9" s="7" t="inlineStr">
        <is>
          <t>Total Trees Replaced</t>
        </is>
      </c>
      <c r="B9" s="8" t="inlineStr">
        <is>
          <t>2,427</t>
        </is>
      </c>
      <c r="C9" s="7" t="inlineStr">
        <is>
          <t>Over 25-year horizon</t>
        </is>
      </c>
      <c r="D9" s="7" t="inlineStr"/>
    </row>
    <row r="10">
      <c r="A10" s="5" t="inlineStr">
        <is>
          <t>Total Programme Cost</t>
        </is>
      </c>
      <c r="B10" s="6" t="inlineStr">
        <is>
          <t>$11,294,122</t>
        </is>
      </c>
      <c r="C10" s="5" t="inlineStr">
        <is>
          <t>Removal + planting + maint</t>
        </is>
      </c>
      <c r="D10" s="5" t="inlineStr"/>
    </row>
    <row r="11">
      <c r="A11" s="7" t="inlineStr">
        <is>
          <t>Annual Budget</t>
        </is>
      </c>
      <c r="B11" s="8" t="inlineStr">
        <is>
          <t>$500,000</t>
        </is>
      </c>
      <c r="C11" s="7" t="inlineStr">
        <is>
          <t>Allocated per year</t>
        </is>
      </c>
      <c r="D11" s="7" t="inlineStr"/>
    </row>
    <row r="12">
      <c r="A12" s="5" t="inlineStr">
        <is>
          <t>Species Batches Scheduled</t>
        </is>
      </c>
      <c r="B12" s="6" t="inlineStr">
        <is>
          <t>13</t>
        </is>
      </c>
      <c r="C12" s="5" t="inlineStr">
        <is>
          <t>P4/P5 + over-represented</t>
        </is>
      </c>
      <c r="D12" s="5" t="inlineStr"/>
    </row>
    <row r="13">
      <c r="A13" s="7" t="inlineStr">
        <is>
          <t>Year-25 Avg CO₂ (lbs/tree)</t>
        </is>
      </c>
      <c r="B13" s="8" t="inlineStr">
        <is>
          <t>440.2</t>
        </is>
      </c>
      <c r="C13" s="7" t="inlineStr">
        <is>
          <t>Population-weighted</t>
        </is>
      </c>
      <c r="D13" s="7" t="inlineStr"/>
    </row>
    <row r="14">
      <c r="A14" s="5" t="inlineStr">
        <is>
          <t>Year-25 Avg AQ (lbs/tree)</t>
        </is>
      </c>
      <c r="B14" s="6" t="inlineStr">
        <is>
          <t>28.35</t>
        </is>
      </c>
      <c r="C14" s="5" t="inlineStr">
        <is>
          <t>PM2.5 + O₃ + NO₂</t>
        </is>
      </c>
      <c r="D14" s="5" t="inlineStr"/>
    </row>
    <row r="15">
      <c r="A15" s="7" t="inlineStr">
        <is>
          <t>RL vs Naive Improvement</t>
        </is>
      </c>
      <c r="B15" s="8" t="inlineStr">
        <is>
          <t>+0.533 pts</t>
        </is>
      </c>
      <c r="C15" s="7" t="inlineStr">
        <is>
          <t>Scheduling optimisation gain</t>
        </is>
      </c>
      <c r="D15" s="7" t="inlineStr"/>
    </row>
    <row r="16"/>
    <row r="17"/>
    <row r="18" ht="18" customHeight="1">
      <c r="A18" s="3" t="inlineStr">
        <is>
          <t xml:space="preserve">  PROGRAMME PHASES (Budget Profile)</t>
        </is>
      </c>
    </row>
    <row r="19" ht="22" customHeight="1">
      <c r="A19" s="4" t="inlineStr">
        <is>
          <t>Phase</t>
        </is>
      </c>
      <c r="B19" s="4" t="inlineStr">
        <is>
          <t>Years</t>
        </is>
      </c>
      <c r="C19" s="4" t="inlineStr">
        <is>
          <t>Focus</t>
        </is>
      </c>
      <c r="D19" s="4" t="inlineStr">
        <is>
          <t>Est. Annual Spend</t>
        </is>
      </c>
    </row>
    <row r="20">
      <c r="A20" s="5" t="inlineStr">
        <is>
          <t>Phase 1 — Triage</t>
        </is>
      </c>
      <c r="B20" s="9" t="inlineStr">
        <is>
          <t>Yrs 1–5</t>
        </is>
      </c>
      <c r="C20" s="5" t="inlineStr">
        <is>
          <t>Remove P5 species; plant high-priority natives</t>
        </is>
      </c>
      <c r="D20" s="10" t="inlineStr">
        <is>
          <t>$522,960</t>
        </is>
      </c>
    </row>
    <row r="21">
      <c r="A21" s="7" t="inlineStr">
        <is>
          <t>Phase 2 — Transition</t>
        </is>
      </c>
      <c r="B21" s="11" t="inlineStr">
        <is>
          <t>Yrs 6–15</t>
        </is>
      </c>
      <c r="C21" s="7" t="inlineStr">
        <is>
          <t>Reduce P4 species; diversify genus mix; add shade canopy</t>
        </is>
      </c>
      <c r="D21" s="12" t="inlineStr">
        <is>
          <t>$408,312</t>
        </is>
      </c>
    </row>
    <row r="22">
      <c r="A22" s="5" t="inlineStr">
        <is>
          <t>Phase 3 — Resilience</t>
        </is>
      </c>
      <c r="B22" s="9" t="inlineStr">
        <is>
          <t>Yrs 16–25</t>
        </is>
      </c>
      <c r="C22" s="5" t="inlineStr">
        <is>
          <t>Fine-tune species balance; climate adaptation; maintenance</t>
        </is>
      </c>
      <c r="D22" s="10" t="inlineStr">
        <is>
          <t>$510,689</t>
        </is>
      </c>
    </row>
  </sheetData>
  <mergeCells count="4">
    <mergeCell ref="A1:D1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5" customWidth="1" min="17" max="17"/>
  </cols>
  <sheetData>
    <row r="1" ht="18" customHeight="1">
      <c r="A1" s="3" t="inlineStr">
        <is>
          <t xml:space="preserve">  Sunnyvale  ·  25-Year Urban Forestry Action Plan  ·  Budget: $500,000/yr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STARS Δ</t>
        </is>
      </c>
      <c r="D2" s="13" t="inlineStr">
        <is>
          <t>Avg CO₂
(lbs/tree/yr)</t>
        </is>
      </c>
      <c r="E2" s="13" t="inlineStr">
        <is>
          <t>Avg AQ
(lbs/tree/yr)</t>
        </is>
      </c>
      <c r="F2" s="13" t="inlineStr">
        <is>
          <t>% Swaps
Complete</t>
        </is>
      </c>
      <c r="G2" s="13" t="inlineStr">
        <is>
          <t>Actions
Taken</t>
        </is>
      </c>
      <c r="H2" s="13" t="inlineStr">
        <is>
          <t>Trees
Replaced</t>
        </is>
      </c>
      <c r="I2" s="13" t="inlineStr">
        <is>
          <t>Removal
Cost ($)</t>
        </is>
      </c>
      <c r="J2" s="13" t="inlineStr">
        <is>
          <t>Planting
Cost ($)</t>
        </is>
      </c>
      <c r="K2" s="13" t="inlineStr">
        <is>
          <t>Watering
Cost ($)</t>
        </is>
      </c>
      <c r="L2" s="13" t="inlineStr">
        <is>
          <t>Overhead
($)</t>
        </is>
      </c>
      <c r="M2" s="13" t="inlineStr">
        <is>
          <t>Maint
Cost ($)</t>
        </is>
      </c>
      <c r="N2" s="13" t="inlineStr">
        <is>
          <t>TOTAL
Cost ($)</t>
        </is>
      </c>
      <c r="O2" s="13" t="inlineStr">
        <is>
          <t>Budget
Remaining ($)</t>
        </is>
      </c>
      <c r="P2" s="13" t="inlineStr">
        <is>
          <t>Cumulative
Cost ($)</t>
        </is>
      </c>
      <c r="Q2" s="13" t="inlineStr">
        <is>
          <t>Swap Batches Executed</t>
        </is>
      </c>
    </row>
    <row r="3">
      <c r="A3" s="14" t="n">
        <v>1</v>
      </c>
      <c r="B3" s="15" t="n">
        <v>43.7919446503583</v>
      </c>
      <c r="C3" s="16" t="n">
        <v>2.5825231552124</v>
      </c>
      <c r="D3" s="15" t="n">
        <v>466.9912404250063</v>
      </c>
      <c r="E3" s="15" t="n">
        <v>28.98465777118853</v>
      </c>
      <c r="F3" s="17" t="n">
        <v>0.1290457844734192</v>
      </c>
      <c r="G3" s="14" t="n">
        <v>4</v>
      </c>
      <c r="H3" s="14" t="n">
        <v>138</v>
      </c>
      <c r="I3" s="18" t="n">
        <v>96600</v>
      </c>
      <c r="J3" s="18" t="n">
        <v>55200</v>
      </c>
      <c r="K3" s="18" t="n">
        <v>19320</v>
      </c>
      <c r="L3" s="18" t="n">
        <v>22770</v>
      </c>
      <c r="M3" s="18" t="n">
        <v>328507.8117758922</v>
      </c>
      <c r="N3" s="19" t="n">
        <v>522397.8117758922</v>
      </c>
      <c r="O3" s="18" t="n">
        <v>219000</v>
      </c>
      <c r="P3" s="18" t="n">
        <v>522397.8117758922</v>
      </c>
      <c r="Q3" s="5" t="inlineStr">
        <is>
          <t>TUSCARORA CRAPE MYRTLE; TUSCARORA CRAPE MYRTLE; TUSCARORA CRAPE MYRTLE; HOLLY OAK</t>
        </is>
      </c>
    </row>
    <row r="4">
      <c r="A4" s="20" t="n">
        <v>2</v>
      </c>
      <c r="B4" s="21" t="n">
        <v>45.74305945543901</v>
      </c>
      <c r="C4" s="22" t="n">
        <v>1.951114805080714</v>
      </c>
      <c r="D4" s="21" t="n">
        <v>486.6037480063796</v>
      </c>
      <c r="E4" s="21" t="n">
        <v>30.08676857530081</v>
      </c>
      <c r="F4" s="23" t="n">
        <v>0.2578639388084412</v>
      </c>
      <c r="G4" s="20" t="n">
        <v>4</v>
      </c>
      <c r="H4" s="20" t="n">
        <v>263</v>
      </c>
      <c r="I4" s="24" t="n">
        <v>184100</v>
      </c>
      <c r="J4" s="24" t="n">
        <v>105200</v>
      </c>
      <c r="K4" s="24" t="n">
        <v>36820</v>
      </c>
      <c r="L4" s="24" t="n">
        <v>43395</v>
      </c>
      <c r="M4" s="24" t="n">
        <v>328507.8117758922</v>
      </c>
      <c r="N4" s="19" t="n">
        <v>698022.8117758922</v>
      </c>
      <c r="O4" s="24" t="n">
        <v>116435</v>
      </c>
      <c r="P4" s="24" t="n">
        <v>1220420.623551784</v>
      </c>
      <c r="Q4" s="7" t="inlineStr">
        <is>
          <t>HOLLY OAK; WATER GUM TREE; WATER GUM TREE; PURPLE-LEAFED PLUM</t>
        </is>
      </c>
    </row>
    <row r="5">
      <c r="A5" s="14" t="n">
        <v>3</v>
      </c>
      <c r="B5" s="15" t="n">
        <v>46.74385039649686</v>
      </c>
      <c r="C5" s="16" t="n">
        <v>1.000790941057851</v>
      </c>
      <c r="D5" s="15" t="n">
        <v>491.602659419283</v>
      </c>
      <c r="E5" s="15" t="n">
        <v>30.61399436132274</v>
      </c>
      <c r="F5" s="17" t="n">
        <v>0.358522355556488</v>
      </c>
      <c r="G5" s="14" t="n">
        <v>4</v>
      </c>
      <c r="H5" s="14" t="n">
        <v>107</v>
      </c>
      <c r="I5" s="18" t="n">
        <v>74900</v>
      </c>
      <c r="J5" s="18" t="n">
        <v>42800</v>
      </c>
      <c r="K5" s="18" t="n">
        <v>14980</v>
      </c>
      <c r="L5" s="18" t="n">
        <v>17655</v>
      </c>
      <c r="M5" s="18" t="n">
        <v>328507.8117758922</v>
      </c>
      <c r="N5" s="18" t="n">
        <v>478842.8117758922</v>
      </c>
      <c r="O5" s="18" t="n">
        <v>337020</v>
      </c>
      <c r="P5" s="18" t="n">
        <v>1699263.435327677</v>
      </c>
      <c r="Q5" s="5" t="inlineStr">
        <is>
          <t>PURPLE-LEAFED PLUM; PURPLE-LEAFED PLUM; SHAMEL ASH; SHAMEL ASH</t>
        </is>
      </c>
    </row>
    <row r="6">
      <c r="A6" s="20" t="n">
        <v>4</v>
      </c>
      <c r="B6" s="21" t="n">
        <v>47.62265530658629</v>
      </c>
      <c r="C6" s="22" t="n">
        <v>0.8788049100894284</v>
      </c>
      <c r="D6" s="21" t="n">
        <v>497.7247760559769</v>
      </c>
      <c r="E6" s="21" t="n">
        <v>31.05861032496767</v>
      </c>
      <c r="F6" s="23" t="n">
        <v>0.4363835453987122</v>
      </c>
      <c r="G6" s="20" t="n">
        <v>4</v>
      </c>
      <c r="H6" s="20" t="n">
        <v>82</v>
      </c>
      <c r="I6" s="24" t="n">
        <v>57400</v>
      </c>
      <c r="J6" s="24" t="n">
        <v>32800</v>
      </c>
      <c r="K6" s="24" t="n">
        <v>11480</v>
      </c>
      <c r="L6" s="24" t="n">
        <v>13530</v>
      </c>
      <c r="M6" s="24" t="n">
        <v>328507.8117758922</v>
      </c>
      <c r="N6" s="24" t="n">
        <v>443717.8117758922</v>
      </c>
      <c r="O6" s="24" t="n">
        <v>355285</v>
      </c>
      <c r="P6" s="24" t="n">
        <v>2142981.247103569</v>
      </c>
      <c r="Q6" s="7" t="inlineStr">
        <is>
          <t>SHAMEL ASH; CAMPHOR TREE; CAMPHOR TREE; CAMPHOR TREE</t>
        </is>
      </c>
    </row>
    <row r="7">
      <c r="A7" s="14" t="n">
        <v>5</v>
      </c>
      <c r="B7" s="15" t="n">
        <v>49.12627832745245</v>
      </c>
      <c r="C7" s="16" t="n">
        <v>1.503623020866165</v>
      </c>
      <c r="D7" s="15" t="n">
        <v>515.33278290863</v>
      </c>
      <c r="E7" s="15" t="n">
        <v>30.69072322291295</v>
      </c>
      <c r="F7" s="17" t="n">
        <v>0.5384615659713745</v>
      </c>
      <c r="G7" s="14" t="n">
        <v>4</v>
      </c>
      <c r="H7" s="14" t="n">
        <v>102</v>
      </c>
      <c r="I7" s="18" t="n">
        <v>71400</v>
      </c>
      <c r="J7" s="18" t="n">
        <v>40800</v>
      </c>
      <c r="K7" s="18" t="n">
        <v>14280</v>
      </c>
      <c r="L7" s="18" t="n">
        <v>16830</v>
      </c>
      <c r="M7" s="18" t="n">
        <v>328507.8117758922</v>
      </c>
      <c r="N7" s="18" t="n">
        <v>471817.8117758922</v>
      </c>
      <c r="O7" s="18" t="n">
        <v>283630</v>
      </c>
      <c r="P7" s="18" t="n">
        <v>2614799.058879461</v>
      </c>
      <c r="Q7" s="5" t="inlineStr">
        <is>
          <t>WATER GUM TREE; MUSKOGEE CRAPE MYRTLE; MUSKOGEE CRAPE MYRTLE; MUSKOGEE CRAPE MYRTLE</t>
        </is>
      </c>
    </row>
    <row r="8">
      <c r="A8" s="20" t="n">
        <v>6</v>
      </c>
      <c r="B8" s="21" t="n">
        <v>50.85056746108389</v>
      </c>
      <c r="C8" s="22" t="n">
        <v>1.724289133631437</v>
      </c>
      <c r="D8" s="21" t="n">
        <v>529.5426249770891</v>
      </c>
      <c r="E8" s="21" t="n">
        <v>30.50265209007336</v>
      </c>
      <c r="F8" s="23" t="n">
        <v>0.6411791443824768</v>
      </c>
      <c r="G8" s="20" t="n">
        <v>4</v>
      </c>
      <c r="H8" s="20" t="n">
        <v>153</v>
      </c>
      <c r="I8" s="24" t="n">
        <v>107100</v>
      </c>
      <c r="J8" s="24" t="n">
        <v>61200</v>
      </c>
      <c r="K8" s="24" t="n">
        <v>21420</v>
      </c>
      <c r="L8" s="24" t="n">
        <v>25245</v>
      </c>
      <c r="M8" s="24" t="n">
        <v>328507.8117758922</v>
      </c>
      <c r="N8" s="19" t="n">
        <v>543472.8117758922</v>
      </c>
      <c r="O8" s="24" t="n">
        <v>287845</v>
      </c>
      <c r="P8" s="24" t="n">
        <v>3158271.870655353</v>
      </c>
      <c r="Q8" s="7" t="inlineStr">
        <is>
          <t>ARISTOCRAT FLOWERING PEAR; ARISTOCRAT FLOWERING PEAR; ARISTOCRAT FLOWERING PEAR; ARISTOCRAT FLOWERING PEAR</t>
        </is>
      </c>
    </row>
    <row r="9">
      <c r="A9" s="14" t="n">
        <v>7</v>
      </c>
      <c r="B9" s="15" t="n">
        <v>53.38292287553012</v>
      </c>
      <c r="C9" s="16" t="n">
        <v>2.532355414446229</v>
      </c>
      <c r="D9" s="15" t="n">
        <v>532.2221910727307</v>
      </c>
      <c r="E9" s="15" t="n">
        <v>28.54790905766915</v>
      </c>
      <c r="F9" s="17" t="n">
        <v>0.7439271211624146</v>
      </c>
      <c r="G9" s="14" t="n">
        <v>4</v>
      </c>
      <c r="H9" s="14" t="n">
        <v>95</v>
      </c>
      <c r="I9" s="18" t="n">
        <v>66500</v>
      </c>
      <c r="J9" s="18" t="n">
        <v>38000</v>
      </c>
      <c r="K9" s="18" t="n">
        <v>13300</v>
      </c>
      <c r="L9" s="18" t="n">
        <v>15675</v>
      </c>
      <c r="M9" s="18" t="n">
        <v>328507.8117758922</v>
      </c>
      <c r="N9" s="18" t="n">
        <v>461982.8117758922</v>
      </c>
      <c r="O9" s="18" t="n">
        <v>200735</v>
      </c>
      <c r="P9" s="18" t="n">
        <v>3620254.682431245</v>
      </c>
      <c r="Q9" s="5" t="inlineStr">
        <is>
          <t>MAIDENHAIR TREE; MAIDENHAIR TREE; MAIDENHAIR TREE; COAST REDWOOD</t>
        </is>
      </c>
    </row>
    <row r="10">
      <c r="A10" s="20" t="n">
        <v>8</v>
      </c>
      <c r="B10" s="21" t="n">
        <v>56.82240138382564</v>
      </c>
      <c r="C10" s="22" t="n">
        <v>3.439478508295515</v>
      </c>
      <c r="D10" s="21" t="n">
        <v>492.6683213443886</v>
      </c>
      <c r="E10" s="21" t="n">
        <v>29.1506764016359</v>
      </c>
      <c r="F10" s="23" t="n">
        <v>0.8024623990058899</v>
      </c>
      <c r="G10" s="20" t="n">
        <v>3</v>
      </c>
      <c r="H10" s="20" t="n">
        <v>113</v>
      </c>
      <c r="I10" s="24" t="n">
        <v>79100</v>
      </c>
      <c r="J10" s="24" t="n">
        <v>45200</v>
      </c>
      <c r="K10" s="24" t="n">
        <v>15820</v>
      </c>
      <c r="L10" s="24" t="n">
        <v>18645</v>
      </c>
      <c r="M10" s="24" t="n">
        <v>328507.8117758922</v>
      </c>
      <c r="N10" s="24" t="n">
        <v>487272.8117758922</v>
      </c>
      <c r="O10" s="24" t="n">
        <v>1225</v>
      </c>
      <c r="P10" s="24" t="n">
        <v>4107527.494207137</v>
      </c>
      <c r="Q10" s="7" t="inlineStr">
        <is>
          <t>COAST REDWOOD; COAST REDWOOD; SOUTHERN MAGNOLIA</t>
        </is>
      </c>
    </row>
    <row r="11">
      <c r="A11" s="14" t="n">
        <v>9</v>
      </c>
      <c r="B11" s="15" t="n">
        <v>60.26475514513843</v>
      </c>
      <c r="C11" s="16" t="n">
        <v>3.442353761312795</v>
      </c>
      <c r="D11" s="15" t="n">
        <v>468.3857019653946</v>
      </c>
      <c r="E11" s="15" t="n">
        <v>28.74900921589628</v>
      </c>
      <c r="F11" s="17" t="n">
        <v>0.8411418795585632</v>
      </c>
      <c r="G11" s="14" t="n">
        <v>1</v>
      </c>
      <c r="H11" s="14" t="n">
        <v>54</v>
      </c>
      <c r="I11" s="18" t="n">
        <v>37800</v>
      </c>
      <c r="J11" s="18" t="n">
        <v>21600</v>
      </c>
      <c r="K11" s="18" t="n">
        <v>7560</v>
      </c>
      <c r="L11" s="18" t="n">
        <v>8910</v>
      </c>
      <c r="M11" s="18" t="n">
        <v>328507.8117758922</v>
      </c>
      <c r="N11" s="18" t="n">
        <v>404377.8117758922</v>
      </c>
      <c r="O11" s="18" t="n">
        <v>1225</v>
      </c>
      <c r="P11" s="18" t="n">
        <v>4511905.305983029</v>
      </c>
      <c r="Q11" s="5" t="inlineStr">
        <is>
          <t>SOUTHERN MAGNOLIA</t>
        </is>
      </c>
    </row>
    <row r="12">
      <c r="A12" s="20" t="n">
        <v>10</v>
      </c>
      <c r="B12" s="21" t="n">
        <v>61.49694983097577</v>
      </c>
      <c r="C12" s="22" t="n">
        <v>1.232194685837335</v>
      </c>
      <c r="D12" s="21" t="n">
        <v>470.7742371444864</v>
      </c>
      <c r="E12" s="21" t="n">
        <v>29.63336992423634</v>
      </c>
      <c r="F12" s="23" t="n">
        <v>0.8982248306274414</v>
      </c>
      <c r="G12" s="20" t="n">
        <v>4</v>
      </c>
      <c r="H12" s="20" t="n">
        <v>152</v>
      </c>
      <c r="I12" s="24" t="n">
        <v>106400</v>
      </c>
      <c r="J12" s="24" t="n">
        <v>60800</v>
      </c>
      <c r="K12" s="24" t="n">
        <v>21280</v>
      </c>
      <c r="L12" s="24" t="n">
        <v>25080</v>
      </c>
      <c r="M12" s="24" t="n">
        <v>328507.8117758922</v>
      </c>
      <c r="N12" s="19" t="n">
        <v>542067.8117758922</v>
      </c>
      <c r="O12" s="24" t="n">
        <v>311730</v>
      </c>
      <c r="P12" s="24" t="n">
        <v>5053973.117758921</v>
      </c>
      <c r="Q12" s="7" t="inlineStr">
        <is>
          <t>SOUTHERN MAGNOLIA; SOUTHERN MAGNOLIA; LONDON PLANE 'BLOODGOOD'; LONDON PLANE 'BLOODGOOD'</t>
        </is>
      </c>
    </row>
    <row r="13">
      <c r="A13" s="14" t="n">
        <v>11</v>
      </c>
      <c r="B13" s="15" t="n">
        <v>61.49694983097579</v>
      </c>
      <c r="C13" s="16" t="n">
        <v>2.131628207280301e-14</v>
      </c>
      <c r="D13" s="15" t="n">
        <v>470.7742371444864</v>
      </c>
      <c r="E13" s="15" t="n">
        <v>29.63336992423635</v>
      </c>
      <c r="F13" s="17" t="n">
        <v>0.8982248306274414</v>
      </c>
      <c r="G13" s="14" t="n">
        <v>0</v>
      </c>
      <c r="H13" s="14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328507.8117758922</v>
      </c>
      <c r="N13" s="18" t="n">
        <v>328507.8117758922</v>
      </c>
      <c r="O13" s="18" t="n">
        <v>103762.1703357546</v>
      </c>
      <c r="P13" s="18" t="n">
        <v>5382480.929534813</v>
      </c>
      <c r="Q13" s="5" t="inlineStr">
        <is>
          <t>—</t>
        </is>
      </c>
    </row>
    <row r="14">
      <c r="A14" s="20" t="n">
        <v>12</v>
      </c>
      <c r="B14" s="21" t="n">
        <v>61.49694983097578</v>
      </c>
      <c r="C14" s="21" t="n">
        <v>-7.105427357601002e-15</v>
      </c>
      <c r="D14" s="21" t="n">
        <v>470.7742371444864</v>
      </c>
      <c r="E14" s="21" t="n">
        <v>29.63336992423635</v>
      </c>
      <c r="F14" s="23" t="n">
        <v>0.8982248306274414</v>
      </c>
      <c r="G14" s="20" t="n">
        <v>0</v>
      </c>
      <c r="H14" s="20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328507.8117758922</v>
      </c>
      <c r="N14" s="24" t="n">
        <v>328507.8117758922</v>
      </c>
      <c r="O14" s="24" t="n">
        <v>108517.0242917257</v>
      </c>
      <c r="P14" s="24" t="n">
        <v>5710988.741310705</v>
      </c>
      <c r="Q14" s="7" t="inlineStr">
        <is>
          <t>—</t>
        </is>
      </c>
    </row>
    <row r="15">
      <c r="A15" s="14" t="n">
        <v>13</v>
      </c>
      <c r="B15" s="15" t="n">
        <v>61.49694983097577</v>
      </c>
      <c r="C15" s="15" t="n">
        <v>-7.105427357601002e-15</v>
      </c>
      <c r="D15" s="15" t="n">
        <v>470.7742371444863</v>
      </c>
      <c r="E15" s="15" t="n">
        <v>29.63336992423633</v>
      </c>
      <c r="F15" s="17" t="n">
        <v>0.8982248306274414</v>
      </c>
      <c r="G15" s="14" t="n">
        <v>0</v>
      </c>
      <c r="H15" s="14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328507.8117758922</v>
      </c>
      <c r="N15" s="18" t="n">
        <v>328507.8117758922</v>
      </c>
      <c r="O15" s="18" t="n">
        <v>113293.1165953666</v>
      </c>
      <c r="P15" s="18" t="n">
        <v>6039496.553086597</v>
      </c>
      <c r="Q15" s="5" t="inlineStr">
        <is>
          <t>—</t>
        </is>
      </c>
    </row>
    <row r="16">
      <c r="A16" s="20" t="n">
        <v>14</v>
      </c>
      <c r="B16" s="21" t="n">
        <v>61.89583311420589</v>
      </c>
      <c r="C16" s="22" t="n">
        <v>0.3988832832301128</v>
      </c>
      <c r="D16" s="21" t="n">
        <v>474.6188952961019</v>
      </c>
      <c r="E16" s="21" t="n">
        <v>29.99669011956401</v>
      </c>
      <c r="F16" s="23" t="n">
        <v>0.9230769276618958</v>
      </c>
      <c r="G16" s="20" t="n">
        <v>1</v>
      </c>
      <c r="H16" s="20" t="n">
        <v>1</v>
      </c>
      <c r="I16" s="24" t="n">
        <v>700</v>
      </c>
      <c r="J16" s="24" t="n">
        <v>400</v>
      </c>
      <c r="K16" s="24" t="n">
        <v>140</v>
      </c>
      <c r="L16" s="24" t="n">
        <v>165</v>
      </c>
      <c r="M16" s="24" t="n">
        <v>328507.8117758922</v>
      </c>
      <c r="N16" s="24" t="n">
        <v>329912.8117758922</v>
      </c>
      <c r="O16" s="24" t="n">
        <v>59078.28194958396</v>
      </c>
      <c r="P16" s="24" t="n">
        <v>6369409.36486249</v>
      </c>
      <c r="Q16" s="7" t="inlineStr">
        <is>
          <t>LONDON PLANE 'BLOODGOOD'</t>
        </is>
      </c>
    </row>
    <row r="17">
      <c r="A17" s="14" t="n">
        <v>15</v>
      </c>
      <c r="B17" s="15" t="n">
        <v>61.89583311420586</v>
      </c>
      <c r="C17" s="15" t="n">
        <v>-2.131628207280301e-14</v>
      </c>
      <c r="D17" s="15" t="n">
        <v>474.6188952961019</v>
      </c>
      <c r="E17" s="15" t="n">
        <v>29.996690119564</v>
      </c>
      <c r="F17" s="17" t="n">
        <v>0.9230769276618958</v>
      </c>
      <c r="G17" s="14" t="n">
        <v>0</v>
      </c>
      <c r="H17" s="14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328507.8117758922</v>
      </c>
      <c r="N17" s="18" t="n">
        <v>328507.8117758922</v>
      </c>
      <c r="O17" s="18" t="n">
        <v>122900.3695970192</v>
      </c>
      <c r="P17" s="18" t="n">
        <v>6697917.176638382</v>
      </c>
      <c r="Q17" s="5" t="inlineStr">
        <is>
          <t>—</t>
        </is>
      </c>
    </row>
    <row r="18">
      <c r="A18" s="20" t="n">
        <v>16</v>
      </c>
      <c r="B18" s="21" t="n">
        <v>61.89583311420589</v>
      </c>
      <c r="C18" s="22" t="n">
        <v>2.131628207280301e-14</v>
      </c>
      <c r="D18" s="21" t="n">
        <v>474.6188952961019</v>
      </c>
      <c r="E18" s="21" t="n">
        <v>29.996690119564</v>
      </c>
      <c r="F18" s="23" t="n">
        <v>0.9230769276618958</v>
      </c>
      <c r="G18" s="20" t="n">
        <v>0</v>
      </c>
      <c r="H18" s="20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328507.8117758922</v>
      </c>
      <c r="N18" s="24" t="n">
        <v>328507.8117758922</v>
      </c>
      <c r="O18" s="24" t="n">
        <v>127727.2448661774</v>
      </c>
      <c r="P18" s="24" t="n">
        <v>7026424.988414274</v>
      </c>
      <c r="Q18" s="7" t="inlineStr">
        <is>
          <t>—</t>
        </is>
      </c>
    </row>
    <row r="19">
      <c r="A19" s="14" t="n">
        <v>17</v>
      </c>
      <c r="B19" s="15" t="n">
        <v>61.89583311420587</v>
      </c>
      <c r="C19" s="15" t="n">
        <v>-1.4210854715202e-14</v>
      </c>
      <c r="D19" s="15" t="n">
        <v>474.6188952961019</v>
      </c>
      <c r="E19" s="15" t="n">
        <v>29.99669011956399</v>
      </c>
      <c r="F19" s="17" t="n">
        <v>0.9230769276618958</v>
      </c>
      <c r="G19" s="14" t="n">
        <v>0</v>
      </c>
      <c r="H19" s="14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328507.8117758922</v>
      </c>
      <c r="N19" s="18" t="n">
        <v>328507.8117758922</v>
      </c>
      <c r="O19" s="18" t="n">
        <v>132566.7906829171</v>
      </c>
      <c r="P19" s="18" t="n">
        <v>7354932.800190166</v>
      </c>
      <c r="Q19" s="5" t="inlineStr">
        <is>
          <t>—</t>
        </is>
      </c>
    </row>
    <row r="20">
      <c r="A20" s="20" t="n">
        <v>18</v>
      </c>
      <c r="B20" s="21" t="n">
        <v>61.89583311420589</v>
      </c>
      <c r="C20" s="22" t="n">
        <v>2.131628207280301e-14</v>
      </c>
      <c r="D20" s="21" t="n">
        <v>474.6188952961018</v>
      </c>
      <c r="E20" s="21" t="n">
        <v>29.996690119564</v>
      </c>
      <c r="F20" s="23" t="n">
        <v>0.9230769276618958</v>
      </c>
      <c r="G20" s="20" t="n">
        <v>0</v>
      </c>
      <c r="H20" s="20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328507.8117758922</v>
      </c>
      <c r="N20" s="24" t="n">
        <v>328507.8117758922</v>
      </c>
      <c r="O20" s="24" t="n">
        <v>137416.9090459026</v>
      </c>
      <c r="P20" s="24" t="n">
        <v>7683440.611966058</v>
      </c>
      <c r="Q20" s="7" t="inlineStr">
        <is>
          <t>—</t>
        </is>
      </c>
    </row>
    <row r="21">
      <c r="A21" s="14" t="n">
        <v>19</v>
      </c>
      <c r="B21" s="15" t="n">
        <v>61.89583311420589</v>
      </c>
      <c r="C21" s="15" t="n">
        <v>0</v>
      </c>
      <c r="D21" s="15" t="n">
        <v>474.6188952961018</v>
      </c>
      <c r="E21" s="15" t="n">
        <v>29.996690119564</v>
      </c>
      <c r="F21" s="17" t="n">
        <v>0.9230769276618958</v>
      </c>
      <c r="G21" s="14" t="n">
        <v>0</v>
      </c>
      <c r="H21" s="14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328507.8117758922</v>
      </c>
      <c r="N21" s="18" t="n">
        <v>328507.8117758922</v>
      </c>
      <c r="O21" s="18" t="n">
        <v>142275.5224646875</v>
      </c>
      <c r="P21" s="18" t="n">
        <v>8011948.42374195</v>
      </c>
      <c r="Q21" s="5" t="inlineStr">
        <is>
          <t>—</t>
        </is>
      </c>
    </row>
    <row r="22">
      <c r="A22" s="20" t="n">
        <v>20</v>
      </c>
      <c r="B22" s="21" t="n">
        <v>61.89583311420589</v>
      </c>
      <c r="C22" s="21" t="n">
        <v>-7.105427357601002e-15</v>
      </c>
      <c r="D22" s="21" t="n">
        <v>474.6188952961019</v>
      </c>
      <c r="E22" s="21" t="n">
        <v>29.996690119564</v>
      </c>
      <c r="F22" s="23" t="n">
        <v>0.9230769276618958</v>
      </c>
      <c r="G22" s="20" t="n">
        <v>0</v>
      </c>
      <c r="H22" s="20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328507.8117758922</v>
      </c>
      <c r="N22" s="24" t="n">
        <v>328507.8117758922</v>
      </c>
      <c r="O22" s="24" t="n">
        <v>147140.5753591678</v>
      </c>
      <c r="P22" s="24" t="n">
        <v>8340456.235517842</v>
      </c>
      <c r="Q22" s="7" t="inlineStr">
        <is>
          <t>—</t>
        </is>
      </c>
    </row>
    <row r="23">
      <c r="A23" s="14" t="n">
        <v>21</v>
      </c>
      <c r="B23" s="15" t="n">
        <v>61.89583311420586</v>
      </c>
      <c r="C23" s="15" t="n">
        <v>-2.131628207280301e-14</v>
      </c>
      <c r="D23" s="15" t="n">
        <v>474.6188952961017</v>
      </c>
      <c r="E23" s="15" t="n">
        <v>29.996690119564</v>
      </c>
      <c r="F23" s="17" t="n">
        <v>0.9230769276618958</v>
      </c>
      <c r="G23" s="14" t="n">
        <v>0</v>
      </c>
      <c r="H23" s="14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328507.8117758922</v>
      </c>
      <c r="N23" s="18" t="n">
        <v>328507.8117758922</v>
      </c>
      <c r="O23" s="18" t="n">
        <v>152010.0354192113</v>
      </c>
      <c r="P23" s="18" t="n">
        <v>8668964.047293734</v>
      </c>
      <c r="Q23" s="5" t="inlineStr">
        <is>
          <t>—</t>
        </is>
      </c>
    </row>
    <row r="24">
      <c r="A24" s="20" t="n">
        <v>22</v>
      </c>
      <c r="B24" s="21" t="n">
        <v>61.89583311420589</v>
      </c>
      <c r="C24" s="22" t="n">
        <v>2.842170943040401e-14</v>
      </c>
      <c r="D24" s="21" t="n">
        <v>474.618895296102</v>
      </c>
      <c r="E24" s="21" t="n">
        <v>29.996690119564</v>
      </c>
      <c r="F24" s="23" t="n">
        <v>0.9230769276618958</v>
      </c>
      <c r="G24" s="20" t="n">
        <v>0</v>
      </c>
      <c r="H24" s="20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328507.8117758922</v>
      </c>
      <c r="N24" s="24" t="n">
        <v>328507.8117758922</v>
      </c>
      <c r="O24" s="24" t="n">
        <v>156881.8949233422</v>
      </c>
      <c r="P24" s="24" t="n">
        <v>8997471.859069627</v>
      </c>
      <c r="Q24" s="7" t="inlineStr">
        <is>
          <t>—</t>
        </is>
      </c>
    </row>
    <row r="25">
      <c r="A25" s="14" t="n">
        <v>23</v>
      </c>
      <c r="B25" s="15" t="n">
        <v>61.89583311420588</v>
      </c>
      <c r="C25" s="15" t="n">
        <v>-1.4210854715202e-14</v>
      </c>
      <c r="D25" s="15" t="n">
        <v>474.6188952961018</v>
      </c>
      <c r="E25" s="15" t="n">
        <v>29.996690119564</v>
      </c>
      <c r="F25" s="17" t="n">
        <v>0.9230769276618958</v>
      </c>
      <c r="G25" s="14" t="n">
        <v>0</v>
      </c>
      <c r="H25" s="14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328507.8117758922</v>
      </c>
      <c r="N25" s="18" t="n">
        <v>328507.8117758922</v>
      </c>
      <c r="O25" s="18" t="n">
        <v>161754.1720154308</v>
      </c>
      <c r="P25" s="18" t="n">
        <v>9325979.67084552</v>
      </c>
      <c r="Q25" s="5" t="inlineStr">
        <is>
          <t>—</t>
        </is>
      </c>
    </row>
    <row r="26">
      <c r="A26" s="20" t="n">
        <v>24</v>
      </c>
      <c r="B26" s="21" t="n">
        <v>65.26930181439928</v>
      </c>
      <c r="C26" s="22" t="n">
        <v>3.373468700193406</v>
      </c>
      <c r="D26" s="21" t="n">
        <v>440.2442254860925</v>
      </c>
      <c r="E26" s="21" t="n">
        <v>28.34575141805456</v>
      </c>
      <c r="F26" s="23" t="n">
        <v>1</v>
      </c>
      <c r="G26" s="20" t="n">
        <v>2</v>
      </c>
      <c r="H26" s="20" t="n">
        <v>1167</v>
      </c>
      <c r="I26" s="24" t="n">
        <v>816900</v>
      </c>
      <c r="J26" s="24" t="n">
        <v>466800</v>
      </c>
      <c r="K26" s="24" t="n">
        <v>163380</v>
      </c>
      <c r="L26" s="24" t="n">
        <v>192555</v>
      </c>
      <c r="M26" s="24" t="n">
        <v>328507.8117758922</v>
      </c>
      <c r="N26" s="19" t="n">
        <v>1968142.811775892</v>
      </c>
      <c r="O26" s="24" t="n">
        <v>34945</v>
      </c>
      <c r="P26" s="24" t="n">
        <v>11294122.48262141</v>
      </c>
      <c r="Q26" s="7" t="inlineStr">
        <is>
          <t>CHINESE PISTACHE; CHINESE PISTACHE</t>
        </is>
      </c>
    </row>
    <row r="27">
      <c r="A27" s="25" t="inlineStr">
        <is>
          <t>TOTAL</t>
        </is>
      </c>
      <c r="B27" s="26" t="inlineStr"/>
      <c r="C27" s="26" t="inlineStr"/>
      <c r="D27" s="26" t="inlineStr"/>
      <c r="E27" s="26" t="inlineStr"/>
      <c r="F27" s="27" t="inlineStr"/>
      <c r="G27" s="25" t="n">
        <v>39</v>
      </c>
      <c r="H27" s="25" t="n">
        <v>2427</v>
      </c>
      <c r="I27" s="28" t="n">
        <v>1698900</v>
      </c>
      <c r="J27" s="28" t="n">
        <v>970800</v>
      </c>
      <c r="K27" s="28" t="n">
        <v>339780</v>
      </c>
      <c r="L27" s="28" t="n">
        <v>400455</v>
      </c>
      <c r="M27" s="28" t="n">
        <v>7884187.482621412</v>
      </c>
      <c r="N27" s="28" t="n">
        <v>11294122.48262141</v>
      </c>
      <c r="O27" s="28" t="inlineStr"/>
      <c r="P27" s="28" t="n">
        <v>11294122.48262141</v>
      </c>
      <c r="Q27" s="29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4" customWidth="1" min="3" max="3"/>
    <col width="24" customWidth="1" min="4" max="4"/>
    <col width="15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  <col width="21" customWidth="1" min="14" max="14"/>
    <col width="15" customWidth="1" min="15" max="15"/>
  </cols>
  <sheetData>
    <row r="1" ht="18" customHeight="1">
      <c r="A1" s="3" t="inlineStr">
        <is>
          <t xml:space="preserve">  Sunnyvale  ·  Species-Level Swap Schedule</t>
        </is>
      </c>
    </row>
    <row r="2" ht="22" customHeight="1">
      <c r="A2" s="13" t="inlineStr">
        <is>
          <t>Source Species
(Remove)</t>
        </is>
      </c>
      <c r="B2" s="13" t="inlineStr">
        <is>
          <t>Priority
Tier</t>
        </is>
      </c>
      <c r="C2" s="13" t="inlineStr">
        <is>
          <t>Total Trees
To Replace</t>
        </is>
      </c>
      <c r="D2" s="13" t="inlineStr">
        <is>
          <t>Target Species
(Plant)</t>
        </is>
      </c>
      <c r="E2" s="13" t="inlineStr">
        <is>
          <t>Trees
Planted</t>
        </is>
      </c>
      <c r="F2" s="13" t="inlineStr">
        <is>
          <t>Yr Start</t>
        </is>
      </c>
      <c r="G2" s="13" t="inlineStr">
        <is>
          <t>Yr End</t>
        </is>
      </c>
      <c r="H2" s="13" t="inlineStr">
        <is>
          <t>Removal ($)</t>
        </is>
      </c>
      <c r="I2" s="13" t="inlineStr">
        <is>
          <t>Planting ($)</t>
        </is>
      </c>
      <c r="J2" s="13" t="inlineStr">
        <is>
          <t>Watering ($)</t>
        </is>
      </c>
      <c r="K2" s="13" t="inlineStr">
        <is>
          <t>Overhead ($)</t>
        </is>
      </c>
      <c r="L2" s="13" t="inlineStr">
        <is>
          <t>TOTAL Batch ($)</t>
        </is>
      </c>
      <c r="M2" s="13" t="inlineStr">
        <is>
          <t>STARS Gain
/tree</t>
        </is>
      </c>
      <c r="N2" s="13" t="inlineStr">
        <is>
          <t>CO₂ Gain
(lbs/tree)</t>
        </is>
      </c>
      <c r="O2" s="13" t="inlineStr">
        <is>
          <t>Urgency
Score</t>
        </is>
      </c>
    </row>
    <row r="3">
      <c r="A3" s="5" t="inlineStr">
        <is>
          <t>ARISTOCRAT FLOWERING PEAR</t>
        </is>
      </c>
      <c r="B3" s="30" t="inlineStr">
        <is>
          <t>Priority 5</t>
        </is>
      </c>
      <c r="C3" s="14" t="n">
        <v>94</v>
      </c>
      <c r="D3" s="5" t="inlineStr">
        <is>
          <t>INTERIOR LIVE OAK</t>
        </is>
      </c>
      <c r="E3" s="14" t="n">
        <v>95</v>
      </c>
      <c r="F3" s="14" t="n">
        <v>7</v>
      </c>
      <c r="G3" s="14" t="n">
        <v>8</v>
      </c>
      <c r="H3" s="18" t="n">
        <v>66500</v>
      </c>
      <c r="I3" s="18" t="n">
        <v>38000</v>
      </c>
      <c r="J3" s="18" t="n">
        <v>13300</v>
      </c>
      <c r="K3" s="18" t="n">
        <v>15675</v>
      </c>
      <c r="L3" s="18" t="n">
        <v>133475</v>
      </c>
      <c r="M3" s="15" t="n">
        <v>15.3</v>
      </c>
      <c r="N3" s="15" t="n">
        <v>304</v>
      </c>
      <c r="O3" s="15" t="n">
        <v>0.82</v>
      </c>
    </row>
    <row r="4">
      <c r="A4" s="7" t="inlineStr">
        <is>
          <t>CAMPHOR TREE</t>
        </is>
      </c>
      <c r="B4" s="31" t="inlineStr">
        <is>
          <t>Priority 4</t>
        </is>
      </c>
      <c r="C4" s="20" t="n">
        <v>102</v>
      </c>
      <c r="D4" s="7" t="inlineStr">
        <is>
          <t>VALLEY OAK</t>
        </is>
      </c>
      <c r="E4" s="20" t="n">
        <v>102</v>
      </c>
      <c r="F4" s="20" t="n">
        <v>5</v>
      </c>
      <c r="G4" s="20" t="n">
        <v>5</v>
      </c>
      <c r="H4" s="24" t="n">
        <v>71400</v>
      </c>
      <c r="I4" s="24" t="n">
        <v>40800</v>
      </c>
      <c r="J4" s="24" t="n">
        <v>14280</v>
      </c>
      <c r="K4" s="24" t="n">
        <v>16830</v>
      </c>
      <c r="L4" s="24" t="n">
        <v>143310</v>
      </c>
      <c r="M4" s="21" t="n">
        <v>9.199999999999999</v>
      </c>
      <c r="N4" s="21" t="n">
        <v>766.1</v>
      </c>
      <c r="O4" s="21" t="n">
        <v>0.76</v>
      </c>
    </row>
    <row r="5">
      <c r="A5" s="5" t="inlineStr">
        <is>
          <t>CHINESE PISTACHE</t>
        </is>
      </c>
      <c r="B5" s="31" t="inlineStr">
        <is>
          <t>Priority 4</t>
        </is>
      </c>
      <c r="C5" s="14" t="n">
        <v>331</v>
      </c>
      <c r="D5" s="5" t="inlineStr">
        <is>
          <t>DESERT WILLOW</t>
        </is>
      </c>
      <c r="E5" s="14" t="n">
        <v>331</v>
      </c>
      <c r="F5" s="14" t="n">
        <v>24</v>
      </c>
      <c r="G5" s="14" t="n">
        <v>24</v>
      </c>
      <c r="H5" s="18" t="n">
        <v>231700</v>
      </c>
      <c r="I5" s="18" t="n">
        <v>132400</v>
      </c>
      <c r="J5" s="18" t="n">
        <v>46340</v>
      </c>
      <c r="K5" s="18" t="n">
        <v>54615</v>
      </c>
      <c r="L5" s="18" t="n">
        <v>465055</v>
      </c>
      <c r="M5" s="15" t="n">
        <v>2.8</v>
      </c>
      <c r="N5" s="15" t="n">
        <v>353.1</v>
      </c>
      <c r="O5" s="15" t="n">
        <v>0.6899999999999999</v>
      </c>
    </row>
    <row r="6">
      <c r="A6" s="7" t="inlineStr">
        <is>
          <t>COAST REDWOOD</t>
        </is>
      </c>
      <c r="B6" s="30" t="inlineStr">
        <is>
          <t>Priority 5</t>
        </is>
      </c>
      <c r="C6" s="20" t="n">
        <v>152</v>
      </c>
      <c r="D6" s="7" t="inlineStr">
        <is>
          <t>NETLEAF HACKBERRY</t>
        </is>
      </c>
      <c r="E6" s="20" t="n">
        <v>152</v>
      </c>
      <c r="F6" s="20" t="n">
        <v>10</v>
      </c>
      <c r="G6" s="20" t="n">
        <v>14</v>
      </c>
      <c r="H6" s="24" t="n">
        <v>106400</v>
      </c>
      <c r="I6" s="24" t="n">
        <v>60800</v>
      </c>
      <c r="J6" s="24" t="n">
        <v>21280</v>
      </c>
      <c r="K6" s="24" t="n">
        <v>25080</v>
      </c>
      <c r="L6" s="24" t="n">
        <v>213560</v>
      </c>
      <c r="M6" s="21" t="n">
        <v>21.5</v>
      </c>
      <c r="N6" s="21" t="n">
        <v>350.4</v>
      </c>
      <c r="O6" s="21" t="n">
        <v>0.83</v>
      </c>
    </row>
    <row r="7">
      <c r="A7" s="5" t="inlineStr">
        <is>
          <t>HOLLY OAK</t>
        </is>
      </c>
      <c r="B7" s="9" t="inlineStr">
        <is>
          <t>Priority 1</t>
        </is>
      </c>
      <c r="C7" s="14" t="n">
        <v>183</v>
      </c>
      <c r="D7" s="5" t="inlineStr">
        <is>
          <t>COAST LIVE OAK</t>
        </is>
      </c>
      <c r="E7" s="14" t="n">
        <v>183</v>
      </c>
      <c r="F7" s="14" t="n">
        <v>1</v>
      </c>
      <c r="G7" s="14" t="n">
        <v>2</v>
      </c>
      <c r="H7" s="18" t="n">
        <v>128100</v>
      </c>
      <c r="I7" s="18" t="n">
        <v>73200</v>
      </c>
      <c r="J7" s="18" t="n">
        <v>25620</v>
      </c>
      <c r="K7" s="18" t="n">
        <v>30195</v>
      </c>
      <c r="L7" s="18" t="n">
        <v>257115</v>
      </c>
      <c r="M7" s="15" t="n">
        <v>0</v>
      </c>
      <c r="N7" s="15" t="n">
        <v>30</v>
      </c>
      <c r="O7" s="15" t="n">
        <v>0.43</v>
      </c>
    </row>
    <row r="8">
      <c r="A8" s="7" t="inlineStr">
        <is>
          <t>LONDON PLANE 'BLOODGOOD'</t>
        </is>
      </c>
      <c r="B8" s="31" t="inlineStr">
        <is>
          <t>Priority 4</t>
        </is>
      </c>
      <c r="C8" s="20" t="n">
        <v>130</v>
      </c>
      <c r="D8" s="7" t="inlineStr">
        <is>
          <t>CATALINA IRONWOOD</t>
        </is>
      </c>
      <c r="E8" s="20" t="n">
        <v>130</v>
      </c>
      <c r="F8" s="20" t="n">
        <v>24</v>
      </c>
      <c r="G8" s="20" t="n">
        <v>24</v>
      </c>
      <c r="H8" s="24" t="n">
        <v>91000</v>
      </c>
      <c r="I8" s="24" t="n">
        <v>52000</v>
      </c>
      <c r="J8" s="24" t="n">
        <v>18200</v>
      </c>
      <c r="K8" s="24" t="n">
        <v>21450</v>
      </c>
      <c r="L8" s="24" t="n">
        <v>182650</v>
      </c>
      <c r="M8" s="21" t="n">
        <v>9.4</v>
      </c>
      <c r="N8" s="21" t="n">
        <v>380</v>
      </c>
      <c r="O8" s="21" t="n">
        <v>0.78</v>
      </c>
    </row>
    <row r="9">
      <c r="A9" s="5" t="inlineStr">
        <is>
          <t>MAIDENHAIR TREE</t>
        </is>
      </c>
      <c r="B9" s="31" t="inlineStr">
        <is>
          <t>Priority 4</t>
        </is>
      </c>
      <c r="C9" s="14" t="n">
        <v>167</v>
      </c>
      <c r="D9" s="5" t="inlineStr">
        <is>
          <t>TEXAS EBONY</t>
        </is>
      </c>
      <c r="E9" s="14" t="n">
        <v>167</v>
      </c>
      <c r="F9" s="14" t="n">
        <v>8</v>
      </c>
      <c r="G9" s="14" t="n">
        <v>10</v>
      </c>
      <c r="H9" s="18" t="n">
        <v>116900</v>
      </c>
      <c r="I9" s="18" t="n">
        <v>66800</v>
      </c>
      <c r="J9" s="18" t="n">
        <v>23380</v>
      </c>
      <c r="K9" s="18" t="n">
        <v>27555</v>
      </c>
      <c r="L9" s="18" t="n">
        <v>234635</v>
      </c>
      <c r="M9" s="15" t="n">
        <v>13.2</v>
      </c>
      <c r="N9" s="15" t="n">
        <v>548.9</v>
      </c>
      <c r="O9" s="15" t="n">
        <v>0.71</v>
      </c>
    </row>
    <row r="10">
      <c r="A10" s="7" t="inlineStr">
        <is>
          <t>MUSKOGEE CRAPE MYRTLE</t>
        </is>
      </c>
      <c r="B10" s="31" t="inlineStr">
        <is>
          <t>Priority 4</t>
        </is>
      </c>
      <c r="C10" s="20" t="n">
        <v>85</v>
      </c>
      <c r="D10" s="7" t="inlineStr">
        <is>
          <t>HOLLY OAK</t>
        </is>
      </c>
      <c r="E10" s="20" t="n">
        <v>85</v>
      </c>
      <c r="F10" s="20" t="n">
        <v>6</v>
      </c>
      <c r="G10" s="20" t="n">
        <v>7</v>
      </c>
      <c r="H10" s="24" t="n">
        <v>59500</v>
      </c>
      <c r="I10" s="24" t="n">
        <v>34000</v>
      </c>
      <c r="J10" s="24" t="n">
        <v>11900</v>
      </c>
      <c r="K10" s="24" t="n">
        <v>14025</v>
      </c>
      <c r="L10" s="24" t="n">
        <v>119425</v>
      </c>
      <c r="M10" s="21" t="n">
        <v>11.4</v>
      </c>
      <c r="N10" s="21" t="n">
        <v>655.8</v>
      </c>
      <c r="O10" s="21" t="n">
        <v>0.79</v>
      </c>
    </row>
    <row r="11">
      <c r="A11" s="5" t="inlineStr">
        <is>
          <t>PURPLE-LEAFED PLUM</t>
        </is>
      </c>
      <c r="B11" s="31" t="inlineStr">
        <is>
          <t>Priority 4</t>
        </is>
      </c>
      <c r="C11" s="14" t="n">
        <v>106</v>
      </c>
      <c r="D11" s="5" t="inlineStr">
        <is>
          <t>INTERIOR LIVE OAK</t>
        </is>
      </c>
      <c r="E11" s="14" t="n">
        <v>107</v>
      </c>
      <c r="F11" s="14" t="n">
        <v>3</v>
      </c>
      <c r="G11" s="14" t="n">
        <v>3</v>
      </c>
      <c r="H11" s="18" t="n">
        <v>74900</v>
      </c>
      <c r="I11" s="18" t="n">
        <v>42800</v>
      </c>
      <c r="J11" s="18" t="n">
        <v>14980</v>
      </c>
      <c r="K11" s="18" t="n">
        <v>17655</v>
      </c>
      <c r="L11" s="18" t="n">
        <v>150335</v>
      </c>
      <c r="M11" s="15" t="n">
        <v>11.5</v>
      </c>
      <c r="N11" s="15" t="n">
        <v>704.1</v>
      </c>
      <c r="O11" s="15" t="n">
        <v>0.77</v>
      </c>
    </row>
    <row r="12">
      <c r="A12" s="7" t="inlineStr">
        <is>
          <t>SHAMEL ASH</t>
        </is>
      </c>
      <c r="B12" s="31" t="inlineStr">
        <is>
          <t>Priority 4</t>
        </is>
      </c>
      <c r="C12" s="20" t="n">
        <v>82</v>
      </c>
      <c r="D12" s="7" t="inlineStr">
        <is>
          <t>VALLEY OAK</t>
        </is>
      </c>
      <c r="E12" s="20" t="n">
        <v>82</v>
      </c>
      <c r="F12" s="20" t="n">
        <v>4</v>
      </c>
      <c r="G12" s="20" t="n">
        <v>4</v>
      </c>
      <c r="H12" s="24" t="n">
        <v>57400</v>
      </c>
      <c r="I12" s="24" t="n">
        <v>32800</v>
      </c>
      <c r="J12" s="24" t="n">
        <v>11480</v>
      </c>
      <c r="K12" s="24" t="n">
        <v>13530</v>
      </c>
      <c r="L12" s="24" t="n">
        <v>115210</v>
      </c>
      <c r="M12" s="21" t="n">
        <v>7.5</v>
      </c>
      <c r="N12" s="21" t="n">
        <v>470.5</v>
      </c>
      <c r="O12" s="21" t="n">
        <v>0.71</v>
      </c>
    </row>
    <row r="13">
      <c r="A13" s="5" t="inlineStr">
        <is>
          <t>SOUTHERN MAGNOLIA</t>
        </is>
      </c>
      <c r="B13" s="31" t="inlineStr">
        <is>
          <t>Priority 4</t>
        </is>
      </c>
      <c r="C13" s="14" t="n">
        <v>706</v>
      </c>
      <c r="D13" s="5" t="inlineStr">
        <is>
          <t>HOLLY OAK</t>
        </is>
      </c>
      <c r="E13" s="14" t="n">
        <v>119</v>
      </c>
      <c r="F13" s="14" t="n">
        <v>24</v>
      </c>
      <c r="G13" s="14" t="n">
        <v>24</v>
      </c>
      <c r="H13" s="18" t="n">
        <v>83300</v>
      </c>
      <c r="I13" s="18" t="n">
        <v>47600</v>
      </c>
      <c r="J13" s="18" t="n">
        <v>16660</v>
      </c>
      <c r="K13" s="18" t="n">
        <v>19635</v>
      </c>
      <c r="L13" s="18" t="n">
        <v>167195</v>
      </c>
      <c r="M13" s="15" t="n">
        <v>10.5</v>
      </c>
      <c r="N13" s="15" t="n">
        <v>108.4</v>
      </c>
      <c r="O13" s="15" t="n">
        <v>0.62</v>
      </c>
    </row>
    <row r="14">
      <c r="A14" s="7" t="inlineStr">
        <is>
          <t>SOUTHERN MAGNOLIA</t>
        </is>
      </c>
      <c r="B14" s="31" t="inlineStr">
        <is>
          <t>Priority 4</t>
        </is>
      </c>
      <c r="C14" s="20" t="n">
        <v>706</v>
      </c>
      <c r="D14" s="7" t="inlineStr">
        <is>
          <t>VALLEY OAK</t>
        </is>
      </c>
      <c r="E14" s="20" t="n">
        <v>587</v>
      </c>
      <c r="F14" s="20" t="n">
        <v>24</v>
      </c>
      <c r="G14" s="20" t="n">
        <v>24</v>
      </c>
      <c r="H14" s="24" t="n">
        <v>410900</v>
      </c>
      <c r="I14" s="24" t="n">
        <v>234800</v>
      </c>
      <c r="J14" s="24" t="n">
        <v>82180</v>
      </c>
      <c r="K14" s="24" t="n">
        <v>96855</v>
      </c>
      <c r="L14" s="24" t="n">
        <v>824735</v>
      </c>
      <c r="M14" s="21" t="n">
        <v>10.5</v>
      </c>
      <c r="N14" s="21" t="n">
        <v>108.4</v>
      </c>
      <c r="O14" s="21" t="n">
        <v>0.62</v>
      </c>
    </row>
    <row r="15">
      <c r="A15" s="5" t="inlineStr">
        <is>
          <t>TUSCARORA CRAPE MYRTLE</t>
        </is>
      </c>
      <c r="B15" s="31" t="inlineStr">
        <is>
          <t>Priority 4</t>
        </is>
      </c>
      <c r="C15" s="14" t="n">
        <v>76</v>
      </c>
      <c r="D15" s="5" t="inlineStr">
        <is>
          <t>INTERIOR LIVE OAK</t>
        </is>
      </c>
      <c r="E15" s="14" t="n">
        <v>76</v>
      </c>
      <c r="F15" s="14" t="n">
        <v>1</v>
      </c>
      <c r="G15" s="14" t="n">
        <v>1</v>
      </c>
      <c r="H15" s="18" t="n">
        <v>53200</v>
      </c>
      <c r="I15" s="18" t="n">
        <v>30400</v>
      </c>
      <c r="J15" s="18" t="n">
        <v>10640</v>
      </c>
      <c r="K15" s="18" t="n">
        <v>12540</v>
      </c>
      <c r="L15" s="18" t="n">
        <v>106780</v>
      </c>
      <c r="M15" s="15" t="n">
        <v>4.9</v>
      </c>
      <c r="N15" s="15" t="n">
        <v>655.8</v>
      </c>
      <c r="O15" s="15" t="n">
        <v>0.79</v>
      </c>
    </row>
    <row r="16">
      <c r="A16" s="7" t="inlineStr">
        <is>
          <t>WATER GUM TREE</t>
        </is>
      </c>
      <c r="B16" s="31" t="inlineStr">
        <is>
          <t>Priority 4</t>
        </is>
      </c>
      <c r="C16" s="20" t="n">
        <v>211</v>
      </c>
      <c r="D16" s="7" t="inlineStr">
        <is>
          <t>TEXAS EBONY</t>
        </is>
      </c>
      <c r="E16" s="20" t="n">
        <v>211</v>
      </c>
      <c r="F16" s="20" t="n">
        <v>2</v>
      </c>
      <c r="G16" s="20" t="n">
        <v>6</v>
      </c>
      <c r="H16" s="24" t="n">
        <v>147700</v>
      </c>
      <c r="I16" s="24" t="n">
        <v>84400</v>
      </c>
      <c r="J16" s="24" t="n">
        <v>29540</v>
      </c>
      <c r="K16" s="24" t="n">
        <v>34815</v>
      </c>
      <c r="L16" s="24" t="n">
        <v>296455</v>
      </c>
      <c r="M16" s="21" t="n">
        <v>5.1</v>
      </c>
      <c r="N16" s="21" t="n">
        <v>310</v>
      </c>
      <c r="O16" s="21" t="n">
        <v>0.77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30" customWidth="1" min="4" max="4"/>
  </cols>
  <sheetData>
    <row r="1" ht="18" customHeight="1">
      <c r="A1" s="3" t="inlineStr">
        <is>
          <t xml:space="preserve">  Budget &amp; Cost Assumptions  (update B-column to recalculate)</t>
        </is>
      </c>
    </row>
    <row r="2" ht="22" customHeight="1">
      <c r="A2" s="4" t="inlineStr">
        <is>
          <t>Parameter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Notes</t>
        </is>
      </c>
    </row>
    <row r="3">
      <c r="A3" s="5" t="inlineStr">
        <is>
          <t>Annual Urban Forestry Budget</t>
        </is>
      </c>
      <c r="B3" s="32" t="n">
        <v>500000</v>
      </c>
      <c r="C3" s="5" t="inlineStr">
        <is>
          <t>$</t>
        </is>
      </c>
      <c r="D3" s="5" t="inlineStr">
        <is>
          <t>Total allocated per year</t>
        </is>
      </c>
    </row>
    <row r="4">
      <c r="A4" s="7" t="inlineStr">
        <is>
          <t>Cost per Tree Removal</t>
        </is>
      </c>
      <c r="B4" s="32" t="n">
        <v>700</v>
      </c>
      <c r="C4" s="7" t="inlineStr">
        <is>
          <t>$/tree</t>
        </is>
      </c>
      <c r="D4" s="7" t="inlineStr">
        <is>
          <t>Includes stump grinding</t>
        </is>
      </c>
    </row>
    <row r="5">
      <c r="A5" s="5" t="inlineStr">
        <is>
          <t>Cost per New Tree Planting</t>
        </is>
      </c>
      <c r="B5" s="32" t="n">
        <v>400</v>
      </c>
      <c r="C5" s="5" t="inlineStr">
        <is>
          <t>$/tree</t>
        </is>
      </c>
      <c r="D5" s="5" t="inlineStr">
        <is>
          <t>Standard parkway planting</t>
        </is>
      </c>
    </row>
    <row r="6">
      <c r="A6" s="7" t="inlineStr">
        <is>
          <t>Cost per Large Tree Planting</t>
        </is>
      </c>
      <c r="B6" s="32" t="n">
        <v>900</v>
      </c>
      <c r="C6" s="7" t="inlineStr">
        <is>
          <t>$/tree</t>
        </is>
      </c>
      <c r="D6" s="7" t="inlineStr">
        <is>
          <t>Specimen / 36-inch box</t>
        </is>
      </c>
    </row>
    <row r="7">
      <c r="A7" s="5" t="inlineStr">
        <is>
          <t>Cost — Watering (first 3 yrs)</t>
        </is>
      </c>
      <c r="B7" s="32" t="n">
        <v>140</v>
      </c>
      <c r="C7" s="5" t="inlineStr">
        <is>
          <t>$/tree</t>
        </is>
      </c>
      <c r="D7" s="5" t="inlineStr">
        <is>
          <t>Establishment irrigation</t>
        </is>
      </c>
    </row>
    <row r="8">
      <c r="A8" s="7" t="inlineStr">
        <is>
          <t>Cost per Tree Maintenance (p.a.)</t>
        </is>
      </c>
      <c r="B8" s="32" t="n">
        <v>95</v>
      </c>
      <c r="C8" s="7" t="inlineStr">
        <is>
          <t>$/tree/yr</t>
        </is>
      </c>
      <c r="D8" s="7" t="inlineStr">
        <is>
          <t>Pruning, inspection</t>
        </is>
      </c>
    </row>
    <row r="9">
      <c r="A9" s="5" t="inlineStr">
        <is>
          <t>Replanting Overhead %</t>
        </is>
      </c>
      <c r="B9" s="33" t="n">
        <v>0.15</v>
      </c>
      <c r="C9" s="5" t="inlineStr">
        <is>
          <t>%</t>
        </is>
      </c>
      <c r="D9" s="5" t="inlineStr">
        <is>
          <t>Admin, permits, site prep</t>
        </is>
      </c>
    </row>
    <row r="10">
      <c r="A10" s="7" t="inlineStr">
        <is>
          <t>Replacement Rate</t>
        </is>
      </c>
      <c r="B10" s="33" t="n">
        <v>0.6</v>
      </c>
      <c r="C10" s="7" t="inlineStr">
        <is>
          <t>%</t>
        </is>
      </c>
      <c r="D10" s="7" t="inlineStr">
        <is>
          <t>Fraction of at-risk trees replaced</t>
        </is>
      </c>
    </row>
    <row r="11">
      <c r="A11" s="5" t="inlineStr">
        <is>
          <t>Simulation Horizon</t>
        </is>
      </c>
      <c r="B11" s="34" t="n">
        <v>25</v>
      </c>
      <c r="C11" s="5" t="inlineStr">
        <is>
          <t>years</t>
        </is>
      </c>
      <c r="D11" s="5" t="inlineStr"/>
    </row>
    <row r="12">
      <c r="A12" s="7" t="inlineStr">
        <is>
          <t>Max Swap Actions per Year</t>
        </is>
      </c>
      <c r="B12" s="34" t="n">
        <v>5</v>
      </c>
      <c r="C12" s="7" t="inlineStr">
        <is>
          <t>—</t>
        </is>
      </c>
      <c r="D12" s="7" t="inlineStr">
        <is>
          <t>RL scheduler cap</t>
        </is>
      </c>
    </row>
    <row r="13">
      <c r="A13" s="5" t="inlineStr">
        <is>
          <t>Climate Temp (Current)</t>
        </is>
      </c>
      <c r="B13" s="34" t="n">
        <v>76</v>
      </c>
      <c r="C13" s="5" t="inlineStr">
        <is>
          <t>°F</t>
        </is>
      </c>
      <c r="D13" s="5" t="inlineStr">
        <is>
          <t>Baseline for scoring</t>
        </is>
      </c>
    </row>
    <row r="14">
      <c r="A14" s="7" t="inlineStr">
        <is>
          <t>Climate Temp (2050 Projection)</t>
        </is>
      </c>
      <c r="B14" s="34" t="n">
        <v>80.40000000000001</v>
      </c>
      <c r="C14" s="7" t="inlineStr">
        <is>
          <t>°F</t>
        </is>
      </c>
      <c r="D14" s="7" t="inlineStr">
        <is>
          <t>Used in resilience scoring</t>
        </is>
      </c>
    </row>
    <row r="15">
      <c r="A15" s="5" t="inlineStr">
        <is>
          <t>Climate Rainfall (Current)</t>
        </is>
      </c>
      <c r="B15" s="34" t="n">
        <v>15.5</v>
      </c>
      <c r="C15" s="5" t="inlineStr">
        <is>
          <t>in/yr</t>
        </is>
      </c>
      <c r="D15" s="5" t="inlineStr"/>
    </row>
    <row r="16">
      <c r="A16" s="7" t="inlineStr">
        <is>
          <t>Climate Rainfall (2050)</t>
        </is>
      </c>
      <c r="B16" s="34" t="n">
        <v>13.2</v>
      </c>
      <c r="C16" s="7" t="inlineStr">
        <is>
          <t>in/yr</t>
        </is>
      </c>
      <c r="D16" s="7" t="inlineStr"/>
    </row>
    <row r="19" ht="30" customHeight="1">
      <c r="A19" s="35" t="inlineStr">
        <is>
          <t>ℹ  Blue cells = hardcoded inputs from CITY_BUDGET. All cost totals on other sheets are derived from these values. Source: city-supplied budget parameters, STARS scoring model (Anthropic/GNN pipeline).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3" customWidth="1" min="5" max="5"/>
    <col width="20" customWidth="1" min="6" max="6"/>
    <col width="21" customWidth="1" min="7" max="7"/>
    <col width="23" customWidth="1" min="8" max="8"/>
    <col width="22" customWidth="1" min="9" max="9"/>
    <col width="21" customWidth="1" min="10" max="10"/>
  </cols>
  <sheetData>
    <row r="1" ht="18" customHeight="1">
      <c r="A1" s="3" t="inlineStr">
        <is>
          <t xml:space="preserve">  Sunnyvale  ·  Cumulative Performance Metrics (chart-ready)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Cumul. STARS Gain</t>
        </is>
      </c>
      <c r="D2" s="13" t="inlineStr">
        <is>
          <t>Trees Replaced (yr)</t>
        </is>
      </c>
      <c r="E2" s="13" t="inlineStr">
        <is>
          <t>Cumul. Trees Replaced</t>
        </is>
      </c>
      <c r="F2" s="13" t="inlineStr">
        <is>
          <t>Annual Cost ($)</t>
        </is>
      </c>
      <c r="G2" s="13" t="inlineStr">
        <is>
          <t>Cumulative Cost ($)</t>
        </is>
      </c>
      <c r="H2" s="13" t="inlineStr">
        <is>
          <t>Avg CO₂ (lbs/tree/yr)</t>
        </is>
      </c>
      <c r="I2" s="13" t="inlineStr">
        <is>
          <t>Avg AQ (lbs/tree/yr)</t>
        </is>
      </c>
      <c r="J2" s="13" t="inlineStr">
        <is>
          <t>% Swaps Done</t>
        </is>
      </c>
    </row>
    <row r="3">
      <c r="A3" s="14" t="n">
        <v>1</v>
      </c>
      <c r="B3" s="15" t="n">
        <v>43.7919446503583</v>
      </c>
      <c r="C3" s="15" t="n">
        <v>2.5825231552124</v>
      </c>
      <c r="D3" s="14" t="n">
        <v>138</v>
      </c>
      <c r="E3" s="14" t="n">
        <v>138</v>
      </c>
      <c r="F3" s="18" t="n">
        <v>522397.8117758922</v>
      </c>
      <c r="G3" s="18" t="n">
        <v>522397.8117758922</v>
      </c>
      <c r="H3" s="15" t="n">
        <v>466.9912404250063</v>
      </c>
      <c r="I3" s="15" t="n">
        <v>28.98465777118853</v>
      </c>
      <c r="J3" s="17" t="n">
        <v>0.1290457844734192</v>
      </c>
    </row>
    <row r="4">
      <c r="A4" s="20" t="n">
        <v>2</v>
      </c>
      <c r="B4" s="21" t="n">
        <v>45.74305945543901</v>
      </c>
      <c r="C4" s="21" t="n">
        <v>4.533637960293113</v>
      </c>
      <c r="D4" s="20" t="n">
        <v>263</v>
      </c>
      <c r="E4" s="20" t="n">
        <v>401</v>
      </c>
      <c r="F4" s="24" t="n">
        <v>698022.8117758922</v>
      </c>
      <c r="G4" s="24" t="n">
        <v>1220420.623551784</v>
      </c>
      <c r="H4" s="21" t="n">
        <v>486.6037480063796</v>
      </c>
      <c r="I4" s="21" t="n">
        <v>30.08676857530081</v>
      </c>
      <c r="J4" s="23" t="n">
        <v>0.2578639388084412</v>
      </c>
    </row>
    <row r="5">
      <c r="A5" s="14" t="n">
        <v>3</v>
      </c>
      <c r="B5" s="15" t="n">
        <v>46.74385039649686</v>
      </c>
      <c r="C5" s="15" t="n">
        <v>5.534428901350964</v>
      </c>
      <c r="D5" s="14" t="n">
        <v>107</v>
      </c>
      <c r="E5" s="14" t="n">
        <v>508</v>
      </c>
      <c r="F5" s="18" t="n">
        <v>478842.8117758922</v>
      </c>
      <c r="G5" s="18" t="n">
        <v>1699263.435327677</v>
      </c>
      <c r="H5" s="15" t="n">
        <v>491.602659419283</v>
      </c>
      <c r="I5" s="15" t="n">
        <v>30.61399436132274</v>
      </c>
      <c r="J5" s="17" t="n">
        <v>0.358522355556488</v>
      </c>
    </row>
    <row r="6">
      <c r="A6" s="20" t="n">
        <v>4</v>
      </c>
      <c r="B6" s="21" t="n">
        <v>47.62265530658629</v>
      </c>
      <c r="C6" s="21" t="n">
        <v>6.413233811440392</v>
      </c>
      <c r="D6" s="20" t="n">
        <v>82</v>
      </c>
      <c r="E6" s="20" t="n">
        <v>590</v>
      </c>
      <c r="F6" s="24" t="n">
        <v>443717.8117758922</v>
      </c>
      <c r="G6" s="24" t="n">
        <v>2142981.247103569</v>
      </c>
      <c r="H6" s="21" t="n">
        <v>497.7247760559769</v>
      </c>
      <c r="I6" s="21" t="n">
        <v>31.05861032496767</v>
      </c>
      <c r="J6" s="23" t="n">
        <v>0.4363835453987122</v>
      </c>
    </row>
    <row r="7">
      <c r="A7" s="14" t="n">
        <v>5</v>
      </c>
      <c r="B7" s="15" t="n">
        <v>49.12627832745245</v>
      </c>
      <c r="C7" s="15" t="n">
        <v>7.916856832306557</v>
      </c>
      <c r="D7" s="14" t="n">
        <v>102</v>
      </c>
      <c r="E7" s="14" t="n">
        <v>692</v>
      </c>
      <c r="F7" s="18" t="n">
        <v>471817.8117758922</v>
      </c>
      <c r="G7" s="18" t="n">
        <v>2614799.058879461</v>
      </c>
      <c r="H7" s="15" t="n">
        <v>515.33278290863</v>
      </c>
      <c r="I7" s="15" t="n">
        <v>30.69072322291295</v>
      </c>
      <c r="J7" s="17" t="n">
        <v>0.5384615659713745</v>
      </c>
    </row>
    <row r="8">
      <c r="A8" s="20" t="n">
        <v>6</v>
      </c>
      <c r="B8" s="21" t="n">
        <v>50.85056746108389</v>
      </c>
      <c r="C8" s="21" t="n">
        <v>9.641145965937994</v>
      </c>
      <c r="D8" s="20" t="n">
        <v>153</v>
      </c>
      <c r="E8" s="20" t="n">
        <v>845</v>
      </c>
      <c r="F8" s="24" t="n">
        <v>543472.8117758922</v>
      </c>
      <c r="G8" s="24" t="n">
        <v>3158271.870655353</v>
      </c>
      <c r="H8" s="21" t="n">
        <v>529.5426249770891</v>
      </c>
      <c r="I8" s="21" t="n">
        <v>30.50265209007336</v>
      </c>
      <c r="J8" s="23" t="n">
        <v>0.6411791443824768</v>
      </c>
    </row>
    <row r="9">
      <c r="A9" s="14" t="n">
        <v>7</v>
      </c>
      <c r="B9" s="15" t="n">
        <v>53.38292287553012</v>
      </c>
      <c r="C9" s="15" t="n">
        <v>12.17350138038422</v>
      </c>
      <c r="D9" s="14" t="n">
        <v>95</v>
      </c>
      <c r="E9" s="14" t="n">
        <v>940</v>
      </c>
      <c r="F9" s="18" t="n">
        <v>461982.8117758922</v>
      </c>
      <c r="G9" s="18" t="n">
        <v>3620254.682431245</v>
      </c>
      <c r="H9" s="15" t="n">
        <v>532.2221910727307</v>
      </c>
      <c r="I9" s="15" t="n">
        <v>28.54790905766915</v>
      </c>
      <c r="J9" s="17" t="n">
        <v>0.7439271211624146</v>
      </c>
    </row>
    <row r="10">
      <c r="A10" s="20" t="n">
        <v>8</v>
      </c>
      <c r="B10" s="21" t="n">
        <v>56.82240138382564</v>
      </c>
      <c r="C10" s="21" t="n">
        <v>15.61297988867974</v>
      </c>
      <c r="D10" s="20" t="n">
        <v>113</v>
      </c>
      <c r="E10" s="20" t="n">
        <v>1053</v>
      </c>
      <c r="F10" s="24" t="n">
        <v>487272.8117758922</v>
      </c>
      <c r="G10" s="24" t="n">
        <v>4107527.494207137</v>
      </c>
      <c r="H10" s="21" t="n">
        <v>492.6683213443886</v>
      </c>
      <c r="I10" s="21" t="n">
        <v>29.1506764016359</v>
      </c>
      <c r="J10" s="23" t="n">
        <v>0.8024623990058899</v>
      </c>
    </row>
    <row r="11">
      <c r="A11" s="14" t="n">
        <v>9</v>
      </c>
      <c r="B11" s="15" t="n">
        <v>60.26475514513843</v>
      </c>
      <c r="C11" s="15" t="n">
        <v>19.05533364999253</v>
      </c>
      <c r="D11" s="14" t="n">
        <v>54</v>
      </c>
      <c r="E11" s="14" t="n">
        <v>1107</v>
      </c>
      <c r="F11" s="18" t="n">
        <v>404377.8117758922</v>
      </c>
      <c r="G11" s="18" t="n">
        <v>4511905.305983029</v>
      </c>
      <c r="H11" s="15" t="n">
        <v>468.3857019653946</v>
      </c>
      <c r="I11" s="15" t="n">
        <v>28.74900921589628</v>
      </c>
      <c r="J11" s="17" t="n">
        <v>0.8411418795585632</v>
      </c>
    </row>
    <row r="12">
      <c r="A12" s="20" t="n">
        <v>10</v>
      </c>
      <c r="B12" s="21" t="n">
        <v>61.49694983097577</v>
      </c>
      <c r="C12" s="21" t="n">
        <v>20.28752833582987</v>
      </c>
      <c r="D12" s="20" t="n">
        <v>152</v>
      </c>
      <c r="E12" s="20" t="n">
        <v>1259</v>
      </c>
      <c r="F12" s="24" t="n">
        <v>542067.8117758922</v>
      </c>
      <c r="G12" s="24" t="n">
        <v>5053973.117758921</v>
      </c>
      <c r="H12" s="21" t="n">
        <v>470.7742371444864</v>
      </c>
      <c r="I12" s="21" t="n">
        <v>29.63336992423634</v>
      </c>
      <c r="J12" s="23" t="n">
        <v>0.8982248306274414</v>
      </c>
    </row>
    <row r="13">
      <c r="A13" s="14" t="n">
        <v>11</v>
      </c>
      <c r="B13" s="15" t="n">
        <v>61.49694983097579</v>
      </c>
      <c r="C13" s="15" t="n">
        <v>20.28752833582989</v>
      </c>
      <c r="D13" s="14" t="n">
        <v>0</v>
      </c>
      <c r="E13" s="14" t="n">
        <v>1259</v>
      </c>
      <c r="F13" s="18" t="n">
        <v>328507.8117758922</v>
      </c>
      <c r="G13" s="18" t="n">
        <v>5382480.929534813</v>
      </c>
      <c r="H13" s="15" t="n">
        <v>470.7742371444864</v>
      </c>
      <c r="I13" s="15" t="n">
        <v>29.63336992423635</v>
      </c>
      <c r="J13" s="17" t="n">
        <v>0.8982248306274414</v>
      </c>
    </row>
    <row r="14">
      <c r="A14" s="20" t="n">
        <v>12</v>
      </c>
      <c r="B14" s="21" t="n">
        <v>61.49694983097578</v>
      </c>
      <c r="C14" s="21" t="n">
        <v>20.28752833582988</v>
      </c>
      <c r="D14" s="20" t="n">
        <v>0</v>
      </c>
      <c r="E14" s="20" t="n">
        <v>1259</v>
      </c>
      <c r="F14" s="24" t="n">
        <v>328507.8117758922</v>
      </c>
      <c r="G14" s="24" t="n">
        <v>5710988.741310705</v>
      </c>
      <c r="H14" s="21" t="n">
        <v>470.7742371444864</v>
      </c>
      <c r="I14" s="21" t="n">
        <v>29.63336992423635</v>
      </c>
      <c r="J14" s="23" t="n">
        <v>0.8982248306274414</v>
      </c>
    </row>
    <row r="15">
      <c r="A15" s="14" t="n">
        <v>13</v>
      </c>
      <c r="B15" s="15" t="n">
        <v>61.49694983097577</v>
      </c>
      <c r="C15" s="15" t="n">
        <v>20.28752833582988</v>
      </c>
      <c r="D15" s="14" t="n">
        <v>0</v>
      </c>
      <c r="E15" s="14" t="n">
        <v>1259</v>
      </c>
      <c r="F15" s="18" t="n">
        <v>328507.8117758922</v>
      </c>
      <c r="G15" s="18" t="n">
        <v>6039496.553086597</v>
      </c>
      <c r="H15" s="15" t="n">
        <v>470.7742371444863</v>
      </c>
      <c r="I15" s="15" t="n">
        <v>29.63336992423633</v>
      </c>
      <c r="J15" s="17" t="n">
        <v>0.8982248306274414</v>
      </c>
    </row>
    <row r="16">
      <c r="A16" s="20" t="n">
        <v>14</v>
      </c>
      <c r="B16" s="21" t="n">
        <v>61.89583311420589</v>
      </c>
      <c r="C16" s="21" t="n">
        <v>20.68641161905999</v>
      </c>
      <c r="D16" s="20" t="n">
        <v>1</v>
      </c>
      <c r="E16" s="20" t="n">
        <v>1260</v>
      </c>
      <c r="F16" s="24" t="n">
        <v>329912.8117758922</v>
      </c>
      <c r="G16" s="24" t="n">
        <v>6369409.36486249</v>
      </c>
      <c r="H16" s="21" t="n">
        <v>474.6188952961019</v>
      </c>
      <c r="I16" s="21" t="n">
        <v>29.99669011956401</v>
      </c>
      <c r="J16" s="23" t="n">
        <v>0.9230769276618958</v>
      </c>
    </row>
    <row r="17">
      <c r="A17" s="14" t="n">
        <v>15</v>
      </c>
      <c r="B17" s="15" t="n">
        <v>61.89583311420586</v>
      </c>
      <c r="C17" s="15" t="n">
        <v>20.68641161905997</v>
      </c>
      <c r="D17" s="14" t="n">
        <v>0</v>
      </c>
      <c r="E17" s="14" t="n">
        <v>1260</v>
      </c>
      <c r="F17" s="18" t="n">
        <v>328507.8117758922</v>
      </c>
      <c r="G17" s="18" t="n">
        <v>6697917.176638382</v>
      </c>
      <c r="H17" s="15" t="n">
        <v>474.6188952961019</v>
      </c>
      <c r="I17" s="15" t="n">
        <v>29.996690119564</v>
      </c>
      <c r="J17" s="17" t="n">
        <v>0.9230769276618958</v>
      </c>
    </row>
    <row r="18">
      <c r="A18" s="20" t="n">
        <v>16</v>
      </c>
      <c r="B18" s="21" t="n">
        <v>61.89583311420589</v>
      </c>
      <c r="C18" s="21" t="n">
        <v>20.68641161905999</v>
      </c>
      <c r="D18" s="20" t="n">
        <v>0</v>
      </c>
      <c r="E18" s="20" t="n">
        <v>1260</v>
      </c>
      <c r="F18" s="24" t="n">
        <v>328507.8117758922</v>
      </c>
      <c r="G18" s="24" t="n">
        <v>7026424.988414274</v>
      </c>
      <c r="H18" s="21" t="n">
        <v>474.6188952961019</v>
      </c>
      <c r="I18" s="21" t="n">
        <v>29.996690119564</v>
      </c>
      <c r="J18" s="23" t="n">
        <v>0.9230769276618958</v>
      </c>
    </row>
    <row r="19">
      <c r="A19" s="14" t="n">
        <v>17</v>
      </c>
      <c r="B19" s="15" t="n">
        <v>61.89583311420587</v>
      </c>
      <c r="C19" s="15" t="n">
        <v>20.68641161905997</v>
      </c>
      <c r="D19" s="14" t="n">
        <v>0</v>
      </c>
      <c r="E19" s="14" t="n">
        <v>1260</v>
      </c>
      <c r="F19" s="18" t="n">
        <v>328507.8117758922</v>
      </c>
      <c r="G19" s="18" t="n">
        <v>7354932.800190166</v>
      </c>
      <c r="H19" s="15" t="n">
        <v>474.6188952961019</v>
      </c>
      <c r="I19" s="15" t="n">
        <v>29.99669011956399</v>
      </c>
      <c r="J19" s="17" t="n">
        <v>0.9230769276618958</v>
      </c>
    </row>
    <row r="20">
      <c r="A20" s="20" t="n">
        <v>18</v>
      </c>
      <c r="B20" s="21" t="n">
        <v>61.89583311420589</v>
      </c>
      <c r="C20" s="21" t="n">
        <v>20.68641161906</v>
      </c>
      <c r="D20" s="20" t="n">
        <v>0</v>
      </c>
      <c r="E20" s="20" t="n">
        <v>1260</v>
      </c>
      <c r="F20" s="24" t="n">
        <v>328507.8117758922</v>
      </c>
      <c r="G20" s="24" t="n">
        <v>7683440.611966058</v>
      </c>
      <c r="H20" s="21" t="n">
        <v>474.6188952961018</v>
      </c>
      <c r="I20" s="21" t="n">
        <v>29.996690119564</v>
      </c>
      <c r="J20" s="23" t="n">
        <v>0.9230769276618958</v>
      </c>
    </row>
    <row r="21">
      <c r="A21" s="14" t="n">
        <v>19</v>
      </c>
      <c r="B21" s="15" t="n">
        <v>61.89583311420589</v>
      </c>
      <c r="C21" s="15" t="n">
        <v>20.68641161906</v>
      </c>
      <c r="D21" s="14" t="n">
        <v>0</v>
      </c>
      <c r="E21" s="14" t="n">
        <v>1260</v>
      </c>
      <c r="F21" s="18" t="n">
        <v>328507.8117758922</v>
      </c>
      <c r="G21" s="18" t="n">
        <v>8011948.42374195</v>
      </c>
      <c r="H21" s="15" t="n">
        <v>474.6188952961018</v>
      </c>
      <c r="I21" s="15" t="n">
        <v>29.996690119564</v>
      </c>
      <c r="J21" s="17" t="n">
        <v>0.9230769276618958</v>
      </c>
    </row>
    <row r="22">
      <c r="A22" s="20" t="n">
        <v>20</v>
      </c>
      <c r="B22" s="21" t="n">
        <v>61.89583311420589</v>
      </c>
      <c r="C22" s="21" t="n">
        <v>20.68641161905999</v>
      </c>
      <c r="D22" s="20" t="n">
        <v>0</v>
      </c>
      <c r="E22" s="20" t="n">
        <v>1260</v>
      </c>
      <c r="F22" s="24" t="n">
        <v>328507.8117758922</v>
      </c>
      <c r="G22" s="24" t="n">
        <v>8340456.235517842</v>
      </c>
      <c r="H22" s="21" t="n">
        <v>474.6188952961019</v>
      </c>
      <c r="I22" s="21" t="n">
        <v>29.996690119564</v>
      </c>
      <c r="J22" s="23" t="n">
        <v>0.9230769276618958</v>
      </c>
    </row>
    <row r="23">
      <c r="A23" s="14" t="n">
        <v>21</v>
      </c>
      <c r="B23" s="15" t="n">
        <v>61.89583311420586</v>
      </c>
      <c r="C23" s="15" t="n">
        <v>20.68641161905997</v>
      </c>
      <c r="D23" s="14" t="n">
        <v>0</v>
      </c>
      <c r="E23" s="14" t="n">
        <v>1260</v>
      </c>
      <c r="F23" s="18" t="n">
        <v>328507.8117758922</v>
      </c>
      <c r="G23" s="18" t="n">
        <v>8668964.047293734</v>
      </c>
      <c r="H23" s="15" t="n">
        <v>474.6188952961017</v>
      </c>
      <c r="I23" s="15" t="n">
        <v>29.996690119564</v>
      </c>
      <c r="J23" s="17" t="n">
        <v>0.9230769276618958</v>
      </c>
    </row>
    <row r="24">
      <c r="A24" s="20" t="n">
        <v>22</v>
      </c>
      <c r="B24" s="21" t="n">
        <v>61.89583311420589</v>
      </c>
      <c r="C24" s="21" t="n">
        <v>20.68641161906</v>
      </c>
      <c r="D24" s="20" t="n">
        <v>0</v>
      </c>
      <c r="E24" s="20" t="n">
        <v>1260</v>
      </c>
      <c r="F24" s="24" t="n">
        <v>328507.8117758922</v>
      </c>
      <c r="G24" s="24" t="n">
        <v>8997471.859069627</v>
      </c>
      <c r="H24" s="21" t="n">
        <v>474.618895296102</v>
      </c>
      <c r="I24" s="21" t="n">
        <v>29.996690119564</v>
      </c>
      <c r="J24" s="23" t="n">
        <v>0.9230769276618958</v>
      </c>
    </row>
    <row r="25">
      <c r="A25" s="14" t="n">
        <v>23</v>
      </c>
      <c r="B25" s="15" t="n">
        <v>61.89583311420588</v>
      </c>
      <c r="C25" s="15" t="n">
        <v>20.68641161905998</v>
      </c>
      <c r="D25" s="14" t="n">
        <v>0</v>
      </c>
      <c r="E25" s="14" t="n">
        <v>1260</v>
      </c>
      <c r="F25" s="18" t="n">
        <v>328507.8117758922</v>
      </c>
      <c r="G25" s="18" t="n">
        <v>9325979.67084552</v>
      </c>
      <c r="H25" s="15" t="n">
        <v>474.6188952961018</v>
      </c>
      <c r="I25" s="15" t="n">
        <v>29.996690119564</v>
      </c>
      <c r="J25" s="17" t="n">
        <v>0.9230769276618958</v>
      </c>
    </row>
    <row r="26">
      <c r="A26" s="20" t="n">
        <v>24</v>
      </c>
      <c r="B26" s="21" t="n">
        <v>65.26930181439928</v>
      </c>
      <c r="C26" s="21" t="n">
        <v>24.05988031925339</v>
      </c>
      <c r="D26" s="20" t="n">
        <v>1167</v>
      </c>
      <c r="E26" s="20" t="n">
        <v>2427</v>
      </c>
      <c r="F26" s="24" t="n">
        <v>1968142.811775892</v>
      </c>
      <c r="G26" s="24" t="n">
        <v>11294122.48262141</v>
      </c>
      <c r="H26" s="21" t="n">
        <v>440.2442254860925</v>
      </c>
      <c r="I26" s="21" t="n">
        <v>28.34575141805456</v>
      </c>
      <c r="J26" s="23" t="n">
        <v>1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2026-08-01T18:57:43Z</dcterms:created>
  <dcterms:modified xmlns:dcterms="http://purl.org/dc/terms/" xmlns:xsi="http://www.w3.org/2001/XMLSchema-instance" xsi:type="dcterms:W3CDTF">2026-08-01T18:57:43Z</dcterms:modified>
</cp:coreProperties>
</file>