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Year-by-Year Plan" sheetId="2" state="visible" r:id="rId2"/>
    <sheet xmlns:r="http://schemas.openxmlformats.org/officeDocument/2006/relationships" name="Species Swap Detail" sheetId="3" state="visible" r:id="rId3"/>
    <sheet xmlns:r="http://schemas.openxmlformats.org/officeDocument/2006/relationships" name="Budget Assumptions" sheetId="4" state="visible" r:id="rId4"/>
    <sheet xmlns:r="http://schemas.openxmlformats.org/officeDocument/2006/relationships" name="Cumulativ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A5276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F39C12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471A3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166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MtView — STARS Score Trajectory (25 Years)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 Metrics'!B2</f>
            </strRef>
          </tx>
          <spPr>
            <a:ln xmlns:a="http://schemas.openxmlformats.org/drawingml/2006/main" w="25000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 Metrics'!$A$3:$A$24</f>
            </numRef>
          </cat>
          <val>
            <numRef>
              <f>'Cumulative Metrics'!$B$3:$B$24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MtView — Annual Programme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 Metrics'!F2</f>
            </strRef>
          </tx>
          <spPr>
            <a:solidFill xmlns:a="http://schemas.openxmlformats.org/drawingml/2006/main">
              <a:srgbClr val="1A5276"/>
            </a:solidFill>
            <a:ln xmlns:a="http://schemas.openxmlformats.org/drawingml/2006/main">
              <a:prstDash val="solid"/>
            </a:ln>
          </spPr>
          <cat>
            <numRef>
              <f>'Cumulative Metrics'!$A$3:$A$24</f>
            </numRef>
          </cat>
          <val>
            <numRef>
              <f>'Cumulative Metrics'!$F$3:$F$24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20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</cols>
  <sheetData>
    <row r="1" ht="36" customHeight="1">
      <c r="A1" s="1" t="inlineStr">
        <is>
          <t>🌳  MtView Urban Forest — 25-Year Action Plan</t>
        </is>
      </c>
    </row>
    <row r="2" ht="16" customHeight="1">
      <c r="A2" s="2" t="inlineStr">
        <is>
          <t>GNN-Optimised · RL Swap Scheduler · Budget: $500,000/yr · Replacement Rate: 60%</t>
        </is>
      </c>
    </row>
    <row r="3"/>
    <row r="4" ht="18" customHeight="1">
      <c r="A4" s="3" t="inlineStr">
        <is>
          <t xml:space="preserve">  KEY PERFORMANCE INDICATORS</t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vs Baseline / Notes</t>
        </is>
      </c>
      <c r="D5" s="4" t="inlineStr"/>
    </row>
    <row r="6">
      <c r="A6" s="5" t="inlineStr">
        <is>
          <t>Current STARS Score</t>
        </is>
      </c>
      <c r="B6" s="6" t="inlineStr">
        <is>
          <t>40.87</t>
        </is>
      </c>
      <c r="C6" s="5" t="inlineStr">
        <is>
          <t>Year 1 starting score</t>
        </is>
      </c>
      <c r="D6" s="5" t="inlineStr"/>
    </row>
    <row r="7">
      <c r="A7" s="7" t="inlineStr">
        <is>
          <t>Projected Year-25 STARS</t>
        </is>
      </c>
      <c r="B7" s="8" t="inlineStr">
        <is>
          <t>65.30</t>
        </is>
      </c>
      <c r="C7" s="7" t="inlineStr">
        <is>
          <t>RL-optimised endpoint</t>
        </is>
      </c>
      <c r="D7" s="7" t="inlineStr"/>
    </row>
    <row r="8">
      <c r="A8" s="5" t="inlineStr">
        <is>
          <t>Total STARS Uplift</t>
        </is>
      </c>
      <c r="B8" s="6" t="inlineStr">
        <is>
          <t>+24.43 pts</t>
        </is>
      </c>
      <c r="C8" s="5" t="inlineStr">
        <is>
          <t>Net improvement</t>
        </is>
      </c>
      <c r="D8" s="5" t="inlineStr"/>
    </row>
    <row r="9">
      <c r="A9" s="7" t="inlineStr">
        <is>
          <t>Total Trees Replaced</t>
        </is>
      </c>
      <c r="B9" s="8" t="inlineStr">
        <is>
          <t>7,027</t>
        </is>
      </c>
      <c r="C9" s="7" t="inlineStr">
        <is>
          <t>Over 25-year horizon</t>
        </is>
      </c>
      <c r="D9" s="7" t="inlineStr"/>
    </row>
    <row r="10">
      <c r="A10" s="5" t="inlineStr">
        <is>
          <t>Total Programme Cost</t>
        </is>
      </c>
      <c r="B10" s="6" t="inlineStr">
        <is>
          <t>$33,464,056</t>
        </is>
      </c>
      <c r="C10" s="5" t="inlineStr">
        <is>
          <t>Removal + planting + maint</t>
        </is>
      </c>
      <c r="D10" s="5" t="inlineStr"/>
    </row>
    <row r="11">
      <c r="A11" s="7" t="inlineStr">
        <is>
          <t>Annual Budget</t>
        </is>
      </c>
      <c r="B11" s="8" t="inlineStr">
        <is>
          <t>$500,000</t>
        </is>
      </c>
      <c r="C11" s="7" t="inlineStr">
        <is>
          <t>Allocated per year</t>
        </is>
      </c>
      <c r="D11" s="7" t="inlineStr"/>
    </row>
    <row r="12">
      <c r="A12" s="5" t="inlineStr">
        <is>
          <t>Species Batches Scheduled</t>
        </is>
      </c>
      <c r="B12" s="6" t="inlineStr">
        <is>
          <t>13</t>
        </is>
      </c>
      <c r="C12" s="5" t="inlineStr">
        <is>
          <t>P4/P5 + over-represented</t>
        </is>
      </c>
      <c r="D12" s="5" t="inlineStr"/>
    </row>
    <row r="13">
      <c r="A13" s="7" t="inlineStr">
        <is>
          <t>Year-25 Avg CO₂ (lbs/tree)</t>
        </is>
      </c>
      <c r="B13" s="8" t="inlineStr">
        <is>
          <t>453.2</t>
        </is>
      </c>
      <c r="C13" s="7" t="inlineStr">
        <is>
          <t>Population-weighted</t>
        </is>
      </c>
      <c r="D13" s="7" t="inlineStr"/>
    </row>
    <row r="14">
      <c r="A14" s="5" t="inlineStr">
        <is>
          <t>Year-25 Avg AQ (lbs/tree)</t>
        </is>
      </c>
      <c r="B14" s="6" t="inlineStr">
        <is>
          <t>25.79</t>
        </is>
      </c>
      <c r="C14" s="5" t="inlineStr">
        <is>
          <t>PM2.5 + O₃ + NO₂</t>
        </is>
      </c>
      <c r="D14" s="5" t="inlineStr"/>
    </row>
    <row r="15">
      <c r="A15" s="7" t="inlineStr">
        <is>
          <t>RL vs Naive Improvement</t>
        </is>
      </c>
      <c r="B15" s="8" t="inlineStr">
        <is>
          <t>+0.577 pts</t>
        </is>
      </c>
      <c r="C15" s="7" t="inlineStr">
        <is>
          <t>Scheduling optimisation gain</t>
        </is>
      </c>
      <c r="D15" s="7" t="inlineStr"/>
    </row>
    <row r="16"/>
    <row r="17"/>
    <row r="18" ht="18" customHeight="1">
      <c r="A18" s="3" t="inlineStr">
        <is>
          <t xml:space="preserve">  PROGRAMME PHASES (Budget Profile)</t>
        </is>
      </c>
    </row>
    <row r="19" ht="22" customHeight="1">
      <c r="A19" s="4" t="inlineStr">
        <is>
          <t>Phase</t>
        </is>
      </c>
      <c r="B19" s="4" t="inlineStr">
        <is>
          <t>Years</t>
        </is>
      </c>
      <c r="C19" s="4" t="inlineStr">
        <is>
          <t>Focus</t>
        </is>
      </c>
      <c r="D19" s="4" t="inlineStr">
        <is>
          <t>Est. Annual Spend</t>
        </is>
      </c>
    </row>
    <row r="20">
      <c r="A20" s="5" t="inlineStr">
        <is>
          <t>Phase 1 — Triage</t>
        </is>
      </c>
      <c r="B20" s="9" t="inlineStr">
        <is>
          <t>Yrs 1–5</t>
        </is>
      </c>
      <c r="C20" s="5" t="inlineStr">
        <is>
          <t>Remove P5 species; plant high-priority natives</t>
        </is>
      </c>
      <c r="D20" s="10" t="inlineStr">
        <is>
          <t>$1,317,356</t>
        </is>
      </c>
    </row>
    <row r="21">
      <c r="A21" s="7" t="inlineStr">
        <is>
          <t>Phase 2 — Transition</t>
        </is>
      </c>
      <c r="B21" s="11" t="inlineStr">
        <is>
          <t>Yrs 6–15</t>
        </is>
      </c>
      <c r="C21" s="7" t="inlineStr">
        <is>
          <t>Reduce P4 species; diversify genus mix; add shade canopy</t>
        </is>
      </c>
      <c r="D21" s="12" t="inlineStr">
        <is>
          <t>$1,322,554</t>
        </is>
      </c>
    </row>
    <row r="22">
      <c r="A22" s="5" t="inlineStr">
        <is>
          <t>Phase 3 — Resilience</t>
        </is>
      </c>
      <c r="B22" s="9" t="inlineStr">
        <is>
          <t>Yrs 16–25</t>
        </is>
      </c>
      <c r="C22" s="5" t="inlineStr">
        <is>
          <t>Fine-tune species balance; climate adaptation; maintenance</t>
        </is>
      </c>
      <c r="D22" s="10" t="inlineStr">
        <is>
          <t>$1,950,248</t>
        </is>
      </c>
    </row>
  </sheetData>
  <mergeCells count="4">
    <mergeCell ref="A1:D1"/>
    <mergeCell ref="A4:D4"/>
    <mergeCell ref="A2:D2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5" customWidth="1" min="17" max="17"/>
  </cols>
  <sheetData>
    <row r="1" ht="18" customHeight="1">
      <c r="A1" s="3" t="inlineStr">
        <is>
          <t xml:space="preserve">  MtView  ·  25-Year Urban Forestry Action Plan  ·  Budget: $500,000/yr</t>
        </is>
      </c>
    </row>
    <row r="2" ht="22" customHeight="1">
      <c r="A2" s="13" t="inlineStr">
        <is>
          <t>Year</t>
        </is>
      </c>
      <c r="B2" s="13" t="inlineStr">
        <is>
          <t>STARS Score</t>
        </is>
      </c>
      <c r="C2" s="13" t="inlineStr">
        <is>
          <t>STARS Δ</t>
        </is>
      </c>
      <c r="D2" s="13" t="inlineStr">
        <is>
          <t>Avg CO₂
(lbs/tree/yr)</t>
        </is>
      </c>
      <c r="E2" s="13" t="inlineStr">
        <is>
          <t>Avg AQ
(lbs/tree/yr)</t>
        </is>
      </c>
      <c r="F2" s="13" t="inlineStr">
        <is>
          <t>% Swaps
Complete</t>
        </is>
      </c>
      <c r="G2" s="13" t="inlineStr">
        <is>
          <t>Actions
Taken</t>
        </is>
      </c>
      <c r="H2" s="13" t="inlineStr">
        <is>
          <t>Trees
Replaced</t>
        </is>
      </c>
      <c r="I2" s="13" t="inlineStr">
        <is>
          <t>Removal
Cost ($)</t>
        </is>
      </c>
      <c r="J2" s="13" t="inlineStr">
        <is>
          <t>Planting
Cost ($)</t>
        </is>
      </c>
      <c r="K2" s="13" t="inlineStr">
        <is>
          <t>Watering
Cost ($)</t>
        </is>
      </c>
      <c r="L2" s="13" t="inlineStr">
        <is>
          <t>Overhead
($)</t>
        </is>
      </c>
      <c r="M2" s="13" t="inlineStr">
        <is>
          <t>Maint
Cost ($)</t>
        </is>
      </c>
      <c r="N2" s="13" t="inlineStr">
        <is>
          <t>TOTAL
Cost ($)</t>
        </is>
      </c>
      <c r="O2" s="13" t="inlineStr">
        <is>
          <t>Budget
Remaining ($)</t>
        </is>
      </c>
      <c r="P2" s="13" t="inlineStr">
        <is>
          <t>Cumulative
Cost ($)</t>
        </is>
      </c>
      <c r="Q2" s="13" t="inlineStr">
        <is>
          <t>Swap Batches Executed</t>
        </is>
      </c>
    </row>
    <row r="3">
      <c r="A3" s="14" t="n">
        <v>1</v>
      </c>
      <c r="B3" s="15" t="n">
        <v>40.86679657053781</v>
      </c>
      <c r="C3" s="16" t="n">
        <v>2.780900716781616</v>
      </c>
      <c r="D3" s="15" t="n">
        <v>435.3100132501949</v>
      </c>
      <c r="E3" s="15" t="n">
        <v>32.96265783320344</v>
      </c>
      <c r="F3" s="17" t="n">
        <v>0.102677047252655</v>
      </c>
      <c r="G3" s="14" t="n">
        <v>4</v>
      </c>
      <c r="H3" s="14" t="n">
        <v>18</v>
      </c>
      <c r="I3" s="18" t="n">
        <v>12600</v>
      </c>
      <c r="J3" s="18" t="n">
        <v>7200</v>
      </c>
      <c r="K3" s="18" t="n">
        <v>2520</v>
      </c>
      <c r="L3" s="18" t="n">
        <v>2970</v>
      </c>
      <c r="M3" s="18" t="n">
        <v>1072323.689904132</v>
      </c>
      <c r="N3" s="19" t="n">
        <v>1097613.689904132</v>
      </c>
      <c r="O3" s="18" t="n">
        <v>261150</v>
      </c>
      <c r="P3" s="18" t="n">
        <v>1097613.689904132</v>
      </c>
      <c r="Q3" s="5" t="inlineStr">
        <is>
          <t>CORK OAK; CORK OAK; CORK OAK; CORK OAK</t>
        </is>
      </c>
    </row>
    <row r="4">
      <c r="A4" s="20" t="n">
        <v>2</v>
      </c>
      <c r="B4" s="21" t="n">
        <v>41.86382846390642</v>
      </c>
      <c r="C4" s="22" t="n">
        <v>0.9970318933686073</v>
      </c>
      <c r="D4" s="21" t="n">
        <v>421.0697934370991</v>
      </c>
      <c r="E4" s="21" t="n">
        <v>33.42455820874371</v>
      </c>
      <c r="F4" s="23" t="n">
        <v>0.2153846025466919</v>
      </c>
      <c r="G4" s="20" t="n">
        <v>4</v>
      </c>
      <c r="H4" s="20" t="n">
        <v>454</v>
      </c>
      <c r="I4" s="24" t="n">
        <v>317800</v>
      </c>
      <c r="J4" s="24" t="n">
        <v>181600</v>
      </c>
      <c r="K4" s="24" t="n">
        <v>63560</v>
      </c>
      <c r="L4" s="24" t="n">
        <v>74910</v>
      </c>
      <c r="M4" s="24" t="n">
        <v>1072323.689904132</v>
      </c>
      <c r="N4" s="19" t="n">
        <v>1710193.689904132</v>
      </c>
      <c r="O4" s="24" t="n">
        <v>58830</v>
      </c>
      <c r="P4" s="24" t="n">
        <v>2807807.379808263</v>
      </c>
      <c r="Q4" s="7" t="inlineStr">
        <is>
          <t>RED MAPLE 'OCTOBER GLORY'; RED MAPLE 'OCTOBER GLORY'; RED MAPLE 'OCTOBER GLORY'; WHITE ALDER</t>
        </is>
      </c>
    </row>
    <row r="5">
      <c r="A5" s="14" t="n">
        <v>3</v>
      </c>
      <c r="B5" s="15" t="n">
        <v>42.30426253705907</v>
      </c>
      <c r="C5" s="16" t="n">
        <v>0.4404340731526517</v>
      </c>
      <c r="D5" s="15" t="n">
        <v>413.5590291581962</v>
      </c>
      <c r="E5" s="15" t="n">
        <v>33.2521333438162</v>
      </c>
      <c r="F5" s="17" t="n">
        <v>0.3072874546051025</v>
      </c>
      <c r="G5" s="14" t="n">
        <v>4</v>
      </c>
      <c r="H5" s="14" t="n">
        <v>16</v>
      </c>
      <c r="I5" s="18" t="n">
        <v>11200</v>
      </c>
      <c r="J5" s="18" t="n">
        <v>6400</v>
      </c>
      <c r="K5" s="18" t="n">
        <v>2240</v>
      </c>
      <c r="L5" s="18" t="n">
        <v>2640</v>
      </c>
      <c r="M5" s="18" t="n">
        <v>1072323.689904132</v>
      </c>
      <c r="N5" s="19" t="n">
        <v>1094803.689904132</v>
      </c>
      <c r="O5" s="18" t="n">
        <v>228835</v>
      </c>
      <c r="P5" s="18" t="n">
        <v>3902611.069712395</v>
      </c>
      <c r="Q5" s="5" t="inlineStr">
        <is>
          <t>WHITE ALDER; WHITE ALDER; DEODAR CEDAR; DEODAR CEDAR</t>
        </is>
      </c>
    </row>
    <row r="6">
      <c r="A6" s="20" t="n">
        <v>4</v>
      </c>
      <c r="B6" s="21" t="n">
        <v>42.77678199647115</v>
      </c>
      <c r="C6" s="22" t="n">
        <v>0.4725194594120836</v>
      </c>
      <c r="D6" s="21" t="n">
        <v>419.7915309276513</v>
      </c>
      <c r="E6" s="21" t="n">
        <v>33.58925316715507</v>
      </c>
      <c r="F6" s="23" t="n">
        <v>0.3846153616905212</v>
      </c>
      <c r="G6" s="20" t="n">
        <v>4</v>
      </c>
      <c r="H6" s="20" t="n">
        <v>190</v>
      </c>
      <c r="I6" s="24" t="n">
        <v>133000</v>
      </c>
      <c r="J6" s="24" t="n">
        <v>76000</v>
      </c>
      <c r="K6" s="24" t="n">
        <v>26600</v>
      </c>
      <c r="L6" s="24" t="n">
        <v>31350</v>
      </c>
      <c r="M6" s="24" t="n">
        <v>1072323.689904132</v>
      </c>
      <c r="N6" s="19" t="n">
        <v>1339273.689904132</v>
      </c>
      <c r="O6" s="24" t="n">
        <v>224620</v>
      </c>
      <c r="P6" s="24" t="n">
        <v>5241884.759616527</v>
      </c>
      <c r="Q6" s="7" t="inlineStr">
        <is>
          <t>DEODAR CEDAR; MODESTO ASH; MODESTO ASH; MODESTO ASH</t>
        </is>
      </c>
    </row>
    <row r="7">
      <c r="A7" s="14" t="n">
        <v>5</v>
      </c>
      <c r="B7" s="15" t="n">
        <v>43.78811358821324</v>
      </c>
      <c r="C7" s="16" t="n">
        <v>1.011331591742092</v>
      </c>
      <c r="D7" s="15" t="n">
        <v>430.19535385544</v>
      </c>
      <c r="E7" s="15" t="n">
        <v>33.52687052362557</v>
      </c>
      <c r="F7" s="17" t="n">
        <v>0.47700035572052</v>
      </c>
      <c r="G7" s="14" t="n">
        <v>3</v>
      </c>
      <c r="H7" s="14" t="n">
        <v>194</v>
      </c>
      <c r="I7" s="18" t="n">
        <v>135800</v>
      </c>
      <c r="J7" s="18" t="n">
        <v>77600</v>
      </c>
      <c r="K7" s="18" t="n">
        <v>27160</v>
      </c>
      <c r="L7" s="18" t="n">
        <v>32010</v>
      </c>
      <c r="M7" s="18" t="n">
        <v>1072323.689904132</v>
      </c>
      <c r="N7" s="19" t="n">
        <v>1344893.689904132</v>
      </c>
      <c r="O7" s="18" t="n">
        <v>1225</v>
      </c>
      <c r="P7" s="18" t="n">
        <v>6586778.449520659</v>
      </c>
      <c r="Q7" s="5" t="inlineStr">
        <is>
          <t>BRISBANE BOX; BRISBANE BOX; BRISBANE BOX</t>
        </is>
      </c>
    </row>
    <row r="8">
      <c r="A8" s="20" t="n">
        <v>6</v>
      </c>
      <c r="B8" s="21" t="n">
        <v>44.86973994595574</v>
      </c>
      <c r="C8" s="22" t="n">
        <v>1.0816263577425</v>
      </c>
      <c r="D8" s="21" t="n">
        <v>446.7798054350041</v>
      </c>
      <c r="E8" s="21" t="n">
        <v>34.55310361776401</v>
      </c>
      <c r="F8" s="23" t="n">
        <v>0.5113065242767334</v>
      </c>
      <c r="G8" s="20" t="n">
        <v>1</v>
      </c>
      <c r="H8" s="20" t="n">
        <v>1</v>
      </c>
      <c r="I8" s="24" t="n">
        <v>700</v>
      </c>
      <c r="J8" s="24" t="n">
        <v>400</v>
      </c>
      <c r="K8" s="24" t="n">
        <v>140</v>
      </c>
      <c r="L8" s="24" t="n">
        <v>165</v>
      </c>
      <c r="M8" s="24" t="n">
        <v>1072323.689904132</v>
      </c>
      <c r="N8" s="19" t="n">
        <v>1073728.689904132</v>
      </c>
      <c r="O8" s="24" t="n">
        <v>1225</v>
      </c>
      <c r="P8" s="24" t="n">
        <v>7660507.139424791</v>
      </c>
      <c r="Q8" s="7" t="inlineStr">
        <is>
          <t>MUSKOGEE CRAPE MYRTLE</t>
        </is>
      </c>
    </row>
    <row r="9">
      <c r="A9" s="14" t="n">
        <v>7</v>
      </c>
      <c r="B9" s="15" t="n">
        <v>45.95686971182068</v>
      </c>
      <c r="C9" s="16" t="n">
        <v>1.087129765864937</v>
      </c>
      <c r="D9" s="15" t="n">
        <v>446.3234142112201</v>
      </c>
      <c r="E9" s="15" t="n">
        <v>35.10401490346354</v>
      </c>
      <c r="F9" s="17" t="n">
        <v>0.5447031259536743</v>
      </c>
      <c r="G9" s="14" t="n">
        <v>3</v>
      </c>
      <c r="H9" s="14" t="n">
        <v>195</v>
      </c>
      <c r="I9" s="18" t="n">
        <v>136500</v>
      </c>
      <c r="J9" s="18" t="n">
        <v>78000</v>
      </c>
      <c r="K9" s="18" t="n">
        <v>27300</v>
      </c>
      <c r="L9" s="18" t="n">
        <v>32175</v>
      </c>
      <c r="M9" s="18" t="n">
        <v>1072323.689904132</v>
      </c>
      <c r="N9" s="19" t="n">
        <v>1346298.689904132</v>
      </c>
      <c r="O9" s="18" t="n">
        <v>1225</v>
      </c>
      <c r="P9" s="18" t="n">
        <v>9006805.829328923</v>
      </c>
      <c r="Q9" s="5" t="inlineStr">
        <is>
          <t>MUSKOGEE CRAPE MYRTLE; MUSKOGEE CRAPE MYRTLE; MUSKOGEE CRAPE MYRTLE</t>
        </is>
      </c>
    </row>
    <row r="10">
      <c r="A10" s="20" t="n">
        <v>8</v>
      </c>
      <c r="B10" s="21" t="n">
        <v>46.98838270239013</v>
      </c>
      <c r="C10" s="22" t="n">
        <v>1.031512990569453</v>
      </c>
      <c r="D10" s="21" t="n">
        <v>427.1957051144172</v>
      </c>
      <c r="E10" s="21" t="n">
        <v>33.97948686865774</v>
      </c>
      <c r="F10" s="23" t="n">
        <v>0.5746457576751709</v>
      </c>
      <c r="G10" s="20" t="n">
        <v>1</v>
      </c>
      <c r="H10" s="20" t="n">
        <v>160</v>
      </c>
      <c r="I10" s="24" t="n">
        <v>112000</v>
      </c>
      <c r="J10" s="24" t="n">
        <v>64000</v>
      </c>
      <c r="K10" s="24" t="n">
        <v>22400</v>
      </c>
      <c r="L10" s="24" t="n">
        <v>26400</v>
      </c>
      <c r="M10" s="24" t="n">
        <v>1072323.689904132</v>
      </c>
      <c r="N10" s="19" t="n">
        <v>1297123.689904132</v>
      </c>
      <c r="O10" s="24" t="n">
        <v>1225</v>
      </c>
      <c r="P10" s="24" t="n">
        <v>10303929.51923305</v>
      </c>
      <c r="Q10" s="7" t="inlineStr">
        <is>
          <t>SOUTHERN MAGNOLIA</t>
        </is>
      </c>
    </row>
    <row r="11">
      <c r="A11" s="14" t="n">
        <v>9</v>
      </c>
      <c r="B11" s="15" t="n">
        <v>48.06194683828714</v>
      </c>
      <c r="C11" s="16" t="n">
        <v>1.073564135897008</v>
      </c>
      <c r="D11" s="15" t="n">
        <v>419.1711147615467</v>
      </c>
      <c r="E11" s="15" t="n">
        <v>33.00754945011951</v>
      </c>
      <c r="F11" s="17" t="n">
        <v>0.6505004167556763</v>
      </c>
      <c r="G11" s="14" t="n">
        <v>2</v>
      </c>
      <c r="H11" s="14" t="n">
        <v>355</v>
      </c>
      <c r="I11" s="18" t="n">
        <v>248500</v>
      </c>
      <c r="J11" s="18" t="n">
        <v>142000</v>
      </c>
      <c r="K11" s="18" t="n">
        <v>49700</v>
      </c>
      <c r="L11" s="18" t="n">
        <v>58575</v>
      </c>
      <c r="M11" s="18" t="n">
        <v>1072323.689904132</v>
      </c>
      <c r="N11" s="19" t="n">
        <v>1571098.689904132</v>
      </c>
      <c r="O11" s="18" t="n">
        <v>1225</v>
      </c>
      <c r="P11" s="18" t="n">
        <v>11875028.20913718</v>
      </c>
      <c r="Q11" s="5" t="inlineStr">
        <is>
          <t>RAYWOOD ASH; RAYWOOD ASH</t>
        </is>
      </c>
    </row>
    <row r="12">
      <c r="A12" s="20" t="n">
        <v>10</v>
      </c>
      <c r="B12" s="21" t="n">
        <v>49.4150619570463</v>
      </c>
      <c r="C12" s="22" t="n">
        <v>1.353115118759163</v>
      </c>
      <c r="D12" s="21" t="n">
        <v>433.0893417344717</v>
      </c>
      <c r="E12" s="21" t="n">
        <v>33.22998610223787</v>
      </c>
      <c r="F12" s="23" t="n">
        <v>0.6804356575012207</v>
      </c>
      <c r="G12" s="20" t="n">
        <v>3</v>
      </c>
      <c r="H12" s="20" t="n">
        <v>281</v>
      </c>
      <c r="I12" s="24" t="n">
        <v>196700</v>
      </c>
      <c r="J12" s="24" t="n">
        <v>112400</v>
      </c>
      <c r="K12" s="24" t="n">
        <v>39340</v>
      </c>
      <c r="L12" s="24" t="n">
        <v>46365</v>
      </c>
      <c r="M12" s="24" t="n">
        <v>1072323.689904132</v>
      </c>
      <c r="N12" s="19" t="n">
        <v>1467128.689904132</v>
      </c>
      <c r="O12" s="24" t="n">
        <v>1225</v>
      </c>
      <c r="P12" s="24" t="n">
        <v>13342156.89904132</v>
      </c>
      <c r="Q12" s="7" t="inlineStr">
        <is>
          <t>RAYWOOD ASH; RAYWOOD ASH; AMERICAN SWEET GUM</t>
        </is>
      </c>
    </row>
    <row r="13">
      <c r="A13" s="14" t="n">
        <v>11</v>
      </c>
      <c r="B13" s="15" t="n">
        <v>50.7889787173833</v>
      </c>
      <c r="C13" s="16" t="n">
        <v>1.373916760336996</v>
      </c>
      <c r="D13" s="15" t="n">
        <v>447.5571483388294</v>
      </c>
      <c r="E13" s="15" t="n">
        <v>33.47605613774092</v>
      </c>
      <c r="F13" s="17" t="n">
        <v>0.7097988128662109</v>
      </c>
      <c r="G13" s="14" t="n">
        <v>1</v>
      </c>
      <c r="H13" s="14" t="n">
        <v>74</v>
      </c>
      <c r="I13" s="18" t="n">
        <v>51800</v>
      </c>
      <c r="J13" s="18" t="n">
        <v>29600</v>
      </c>
      <c r="K13" s="18" t="n">
        <v>10360</v>
      </c>
      <c r="L13" s="18" t="n">
        <v>12210</v>
      </c>
      <c r="M13" s="18" t="n">
        <v>1072323.689904132</v>
      </c>
      <c r="N13" s="19" t="n">
        <v>1176293.689904132</v>
      </c>
      <c r="O13" s="18" t="n">
        <v>1225</v>
      </c>
      <c r="P13" s="18" t="n">
        <v>14518450.58894545</v>
      </c>
      <c r="Q13" s="5" t="inlineStr">
        <is>
          <t>AMERICAN SWEET GUM</t>
        </is>
      </c>
    </row>
    <row r="14">
      <c r="A14" s="20" t="n">
        <v>12</v>
      </c>
      <c r="B14" s="21" t="n">
        <v>52.0671636481715</v>
      </c>
      <c r="C14" s="22" t="n">
        <v>1.2781849307882</v>
      </c>
      <c r="D14" s="21" t="n">
        <v>449.5938429464595</v>
      </c>
      <c r="E14" s="21" t="n">
        <v>33.20628380158011</v>
      </c>
      <c r="F14" s="23" t="n">
        <v>0.7393724918365479</v>
      </c>
      <c r="G14" s="20" t="n">
        <v>2</v>
      </c>
      <c r="H14" s="20" t="n">
        <v>355</v>
      </c>
      <c r="I14" s="24" t="n">
        <v>248500</v>
      </c>
      <c r="J14" s="24" t="n">
        <v>142000</v>
      </c>
      <c r="K14" s="24" t="n">
        <v>49700</v>
      </c>
      <c r="L14" s="24" t="n">
        <v>58575</v>
      </c>
      <c r="M14" s="24" t="n">
        <v>1072323.689904132</v>
      </c>
      <c r="N14" s="19" t="n">
        <v>1571098.689904132</v>
      </c>
      <c r="O14" s="24" t="n">
        <v>1225</v>
      </c>
      <c r="P14" s="24" t="n">
        <v>16089549.27884958</v>
      </c>
      <c r="Q14" s="7" t="inlineStr">
        <is>
          <t>AMERICAN SWEET GUM; AMERICAN SWEET GUM</t>
        </is>
      </c>
    </row>
    <row r="15">
      <c r="A15" s="14" t="n">
        <v>13</v>
      </c>
      <c r="B15" s="15" t="n">
        <v>53.16175129594545</v>
      </c>
      <c r="C15" s="16" t="n">
        <v>1.094587647773949</v>
      </c>
      <c r="D15" s="15" t="n">
        <v>429.2965182409175</v>
      </c>
      <c r="E15" s="15" t="n">
        <v>32.01299345261963</v>
      </c>
      <c r="F15" s="17" t="n">
        <v>0.7692307829856873</v>
      </c>
      <c r="G15" s="14" t="n">
        <v>2</v>
      </c>
      <c r="H15" s="14" t="n">
        <v>242</v>
      </c>
      <c r="I15" s="18" t="n">
        <v>169400</v>
      </c>
      <c r="J15" s="18" t="n">
        <v>96800</v>
      </c>
      <c r="K15" s="18" t="n">
        <v>33880</v>
      </c>
      <c r="L15" s="18" t="n">
        <v>39930</v>
      </c>
      <c r="M15" s="18" t="n">
        <v>1072323.689904132</v>
      </c>
      <c r="N15" s="19" t="n">
        <v>1412333.689904132</v>
      </c>
      <c r="O15" s="18" t="n">
        <v>1225</v>
      </c>
      <c r="P15" s="18" t="n">
        <v>17501882.96875371</v>
      </c>
      <c r="Q15" s="5" t="inlineStr">
        <is>
          <t>SOUTHERN MAGNOLIA; SOUTHERN MAGNOLIA</t>
        </is>
      </c>
    </row>
    <row r="16">
      <c r="A16" s="20" t="n">
        <v>14</v>
      </c>
      <c r="B16" s="21" t="n">
        <v>54.18937792421942</v>
      </c>
      <c r="C16" s="22" t="n">
        <v>1.027626628273971</v>
      </c>
      <c r="D16" s="21" t="n">
        <v>439.5639507208273</v>
      </c>
      <c r="E16" s="21" t="n">
        <v>30.97948363798704</v>
      </c>
      <c r="F16" s="23" t="n">
        <v>0.866546630859375</v>
      </c>
      <c r="G16" s="20" t="n">
        <v>2</v>
      </c>
      <c r="H16" s="20" t="n">
        <v>118</v>
      </c>
      <c r="I16" s="24" t="n">
        <v>82600</v>
      </c>
      <c r="J16" s="24" t="n">
        <v>47200</v>
      </c>
      <c r="K16" s="24" t="n">
        <v>16520</v>
      </c>
      <c r="L16" s="24" t="n">
        <v>19470</v>
      </c>
      <c r="M16" s="24" t="n">
        <v>1072323.689904132</v>
      </c>
      <c r="N16" s="19" t="n">
        <v>1238113.689904132</v>
      </c>
      <c r="O16" s="24" t="n">
        <v>1225</v>
      </c>
      <c r="P16" s="24" t="n">
        <v>18739996.65865784</v>
      </c>
      <c r="Q16" s="7" t="inlineStr">
        <is>
          <t>STONE FRUIT SPECIES; STONE FRUIT SPECIES</t>
        </is>
      </c>
    </row>
    <row r="17">
      <c r="A17" s="14" t="n">
        <v>15</v>
      </c>
      <c r="B17" s="15" t="n">
        <v>55.23399257285772</v>
      </c>
      <c r="C17" s="16" t="n">
        <v>1.044614648638301</v>
      </c>
      <c r="D17" s="15" t="n">
        <v>450.0457828007972</v>
      </c>
      <c r="E17" s="15" t="n">
        <v>29.92319006781117</v>
      </c>
      <c r="F17" s="17" t="n">
        <v>0.887171745300293</v>
      </c>
      <c r="G17" s="14" t="n">
        <v>0</v>
      </c>
      <c r="H17" s="14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1072323.689904132</v>
      </c>
      <c r="N17" s="19" t="n">
        <v>1072323.689904132</v>
      </c>
      <c r="O17" s="18" t="n">
        <v>1225</v>
      </c>
      <c r="P17" s="18" t="n">
        <v>19812320.34856197</v>
      </c>
      <c r="Q17" s="5" t="inlineStr">
        <is>
          <t>—</t>
        </is>
      </c>
    </row>
    <row r="18">
      <c r="A18" s="20" t="n">
        <v>16</v>
      </c>
      <c r="B18" s="21" t="n">
        <v>56.13112744920747</v>
      </c>
      <c r="C18" s="22" t="n">
        <v>0.897134876349746</v>
      </c>
      <c r="D18" s="21" t="n">
        <v>444.2324802503845</v>
      </c>
      <c r="E18" s="21" t="n">
        <v>30.51109273952902</v>
      </c>
      <c r="F18" s="23" t="n">
        <v>0.9077968597412109</v>
      </c>
      <c r="G18" s="20" t="n">
        <v>0</v>
      </c>
      <c r="H18" s="20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1072323.689904132</v>
      </c>
      <c r="N18" s="19" t="n">
        <v>1072323.689904132</v>
      </c>
      <c r="O18" s="24" t="n">
        <v>1225</v>
      </c>
      <c r="P18" s="24" t="n">
        <v>20884644.0384661</v>
      </c>
      <c r="Q18" s="7" t="inlineStr">
        <is>
          <t>—</t>
        </is>
      </c>
    </row>
    <row r="19">
      <c r="A19" s="14" t="n">
        <v>17</v>
      </c>
      <c r="B19" s="15" t="n">
        <v>57.38967532344142</v>
      </c>
      <c r="C19" s="16" t="n">
        <v>1.258547874233955</v>
      </c>
      <c r="D19" s="15" t="n">
        <v>454.4080447414372</v>
      </c>
      <c r="E19" s="15" t="n">
        <v>29.43310742233763</v>
      </c>
      <c r="F19" s="17" t="n">
        <v>0.927374005317688</v>
      </c>
      <c r="G19" s="14" t="n">
        <v>2</v>
      </c>
      <c r="H19" s="14" t="n">
        <v>312</v>
      </c>
      <c r="I19" s="18" t="n">
        <v>218400</v>
      </c>
      <c r="J19" s="18" t="n">
        <v>124800</v>
      </c>
      <c r="K19" s="18" t="n">
        <v>43680</v>
      </c>
      <c r="L19" s="18" t="n">
        <v>51480</v>
      </c>
      <c r="M19" s="18" t="n">
        <v>1072323.689904132</v>
      </c>
      <c r="N19" s="19" t="n">
        <v>1510683.689904132</v>
      </c>
      <c r="O19" s="18" t="n">
        <v>1225</v>
      </c>
      <c r="P19" s="18" t="n">
        <v>22395327.72837023</v>
      </c>
      <c r="Q19" s="5" t="inlineStr">
        <is>
          <t>CHINESE PISTACHE; CHINESE PISTACHE</t>
        </is>
      </c>
    </row>
    <row r="20">
      <c r="A20" s="20" t="n">
        <v>18</v>
      </c>
      <c r="B20" s="21" t="n">
        <v>59.21502496506145</v>
      </c>
      <c r="C20" s="22" t="n">
        <v>1.825349641620029</v>
      </c>
      <c r="D20" s="21" t="n">
        <v>463.1940160293827</v>
      </c>
      <c r="E20" s="21" t="n">
        <v>28.33992205471306</v>
      </c>
      <c r="F20" s="23" t="n">
        <v>0.9441375136375427</v>
      </c>
      <c r="G20" s="20" t="n">
        <v>0</v>
      </c>
      <c r="H20" s="20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1072323.689904132</v>
      </c>
      <c r="N20" s="19" t="n">
        <v>1072323.689904132</v>
      </c>
      <c r="O20" s="24" t="n">
        <v>1225</v>
      </c>
      <c r="P20" s="24" t="n">
        <v>23467651.41827437</v>
      </c>
      <c r="Q20" s="7" t="inlineStr">
        <is>
          <t>—</t>
        </is>
      </c>
    </row>
    <row r="21">
      <c r="A21" s="14" t="n">
        <v>19</v>
      </c>
      <c r="B21" s="15" t="n">
        <v>60.96941056416164</v>
      </c>
      <c r="C21" s="16" t="n">
        <v>1.754385599100189</v>
      </c>
      <c r="D21" s="15" t="n">
        <v>452.2641595484388</v>
      </c>
      <c r="E21" s="15" t="n">
        <v>27.82933770784042</v>
      </c>
      <c r="F21" s="17" t="n">
        <v>0.9609009623527527</v>
      </c>
      <c r="G21" s="14" t="n">
        <v>0</v>
      </c>
      <c r="H21" s="14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1072323.689904132</v>
      </c>
      <c r="N21" s="19" t="n">
        <v>1072323.689904132</v>
      </c>
      <c r="O21" s="18" t="n">
        <v>1225</v>
      </c>
      <c r="P21" s="18" t="n">
        <v>24539975.1081785</v>
      </c>
      <c r="Q21" s="5" t="inlineStr">
        <is>
          <t>—</t>
        </is>
      </c>
    </row>
    <row r="22">
      <c r="A22" s="20" t="n">
        <v>20</v>
      </c>
      <c r="B22" s="21" t="n">
        <v>62.8450609476089</v>
      </c>
      <c r="C22" s="22" t="n">
        <v>1.875650383447258</v>
      </c>
      <c r="D22" s="21" t="n">
        <v>461.2922438340151</v>
      </c>
      <c r="E22" s="21" t="n">
        <v>26.7060276815245</v>
      </c>
      <c r="F22" s="23" t="n">
        <v>0.9776644706726074</v>
      </c>
      <c r="G22" s="20" t="n">
        <v>0</v>
      </c>
      <c r="H22" s="20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1072323.689904132</v>
      </c>
      <c r="N22" s="19" t="n">
        <v>1072323.689904132</v>
      </c>
      <c r="O22" s="24" t="n">
        <v>1225</v>
      </c>
      <c r="P22" s="24" t="n">
        <v>25612298.79808263</v>
      </c>
      <c r="Q22" s="7" t="inlineStr">
        <is>
          <t>—</t>
        </is>
      </c>
    </row>
    <row r="23">
      <c r="A23" s="14" t="n">
        <v>21</v>
      </c>
      <c r="B23" s="15" t="n">
        <v>64.64852293131759</v>
      </c>
      <c r="C23" s="16" t="n">
        <v>1.803461983708686</v>
      </c>
      <c r="D23" s="15" t="n">
        <v>450.0566405203052</v>
      </c>
      <c r="E23" s="15" t="n">
        <v>26.18116048041786</v>
      </c>
      <c r="F23" s="17" t="n">
        <v>0.9944279193878174</v>
      </c>
      <c r="G23" s="14" t="n">
        <v>0</v>
      </c>
      <c r="H23" s="14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1072323.689904132</v>
      </c>
      <c r="N23" s="19" t="n">
        <v>1072323.689904132</v>
      </c>
      <c r="O23" s="18" t="n">
        <v>1225</v>
      </c>
      <c r="P23" s="18" t="n">
        <v>26684622.48798676</v>
      </c>
      <c r="Q23" s="5" t="inlineStr">
        <is>
          <t>—</t>
        </is>
      </c>
    </row>
    <row r="24">
      <c r="A24" s="20" t="n">
        <v>22</v>
      </c>
      <c r="B24" s="21" t="n">
        <v>65.29511233838089</v>
      </c>
      <c r="C24" s="22" t="n">
        <v>0.6465894070633027</v>
      </c>
      <c r="D24" s="21" t="n">
        <v>453.1688749306431</v>
      </c>
      <c r="E24" s="21" t="n">
        <v>25.79392394088276</v>
      </c>
      <c r="F24" s="23" t="n">
        <v>1</v>
      </c>
      <c r="G24" s="20" t="n">
        <v>1</v>
      </c>
      <c r="H24" s="20" t="n">
        <v>4062</v>
      </c>
      <c r="I24" s="24" t="n">
        <v>2843400</v>
      </c>
      <c r="J24" s="24" t="n">
        <v>1624800</v>
      </c>
      <c r="K24" s="24" t="n">
        <v>568680</v>
      </c>
      <c r="L24" s="24" t="n">
        <v>670230</v>
      </c>
      <c r="M24" s="24" t="n">
        <v>1072323.689904132</v>
      </c>
      <c r="N24" s="19" t="n">
        <v>6779433.689904132</v>
      </c>
      <c r="O24" s="24" t="n">
        <v>332805</v>
      </c>
      <c r="P24" s="24" t="n">
        <v>33464056.17789089</v>
      </c>
      <c r="Q24" s="7" t="inlineStr">
        <is>
          <t>COAST REDWOOD</t>
        </is>
      </c>
    </row>
    <row r="25">
      <c r="A25" s="25" t="inlineStr">
        <is>
          <t>TOTAL</t>
        </is>
      </c>
      <c r="B25" s="26" t="inlineStr"/>
      <c r="C25" s="26" t="inlineStr"/>
      <c r="D25" s="26" t="inlineStr"/>
      <c r="E25" s="26" t="inlineStr"/>
      <c r="F25" s="27" t="inlineStr"/>
      <c r="G25" s="25" t="n">
        <v>39</v>
      </c>
      <c r="H25" s="25" t="n">
        <v>7027</v>
      </c>
      <c r="I25" s="28" t="n">
        <v>4918900</v>
      </c>
      <c r="J25" s="28" t="n">
        <v>2810800</v>
      </c>
      <c r="K25" s="28" t="n">
        <v>983780</v>
      </c>
      <c r="L25" s="28" t="n">
        <v>1159455</v>
      </c>
      <c r="M25" s="28" t="n">
        <v>23591121.17789089</v>
      </c>
      <c r="N25" s="28" t="n">
        <v>33464056.17789089</v>
      </c>
      <c r="O25" s="28" t="inlineStr"/>
      <c r="P25" s="28" t="n">
        <v>33464056.17789089</v>
      </c>
      <c r="Q25" s="29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4" customWidth="1" min="3" max="3"/>
    <col width="24" customWidth="1" min="4" max="4"/>
    <col width="15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14" customWidth="1" min="11" max="11"/>
    <col width="17" customWidth="1" min="12" max="12"/>
    <col width="18" customWidth="1" min="13" max="13"/>
    <col width="21" customWidth="1" min="14" max="14"/>
    <col width="15" customWidth="1" min="15" max="15"/>
  </cols>
  <sheetData>
    <row r="1" ht="18" customHeight="1">
      <c r="A1" s="3" t="inlineStr">
        <is>
          <t xml:space="preserve">  MtView  ·  Species-Level Swap Schedule</t>
        </is>
      </c>
    </row>
    <row r="2" ht="22" customHeight="1">
      <c r="A2" s="13" t="inlineStr">
        <is>
          <t>Source Species
(Remove)</t>
        </is>
      </c>
      <c r="B2" s="13" t="inlineStr">
        <is>
          <t>Priority
Tier</t>
        </is>
      </c>
      <c r="C2" s="13" t="inlineStr">
        <is>
          <t>Total Trees
To Replace</t>
        </is>
      </c>
      <c r="D2" s="13" t="inlineStr">
        <is>
          <t>Target Species
(Plant)</t>
        </is>
      </c>
      <c r="E2" s="13" t="inlineStr">
        <is>
          <t>Trees
Planted</t>
        </is>
      </c>
      <c r="F2" s="13" t="inlineStr">
        <is>
          <t>Yr Start</t>
        </is>
      </c>
      <c r="G2" s="13" t="inlineStr">
        <is>
          <t>Yr End</t>
        </is>
      </c>
      <c r="H2" s="13" t="inlineStr">
        <is>
          <t>Removal ($)</t>
        </is>
      </c>
      <c r="I2" s="13" t="inlineStr">
        <is>
          <t>Planting ($)</t>
        </is>
      </c>
      <c r="J2" s="13" t="inlineStr">
        <is>
          <t>Watering ($)</t>
        </is>
      </c>
      <c r="K2" s="13" t="inlineStr">
        <is>
          <t>Overhead ($)</t>
        </is>
      </c>
      <c r="L2" s="13" t="inlineStr">
        <is>
          <t>TOTAL Batch ($)</t>
        </is>
      </c>
      <c r="M2" s="13" t="inlineStr">
        <is>
          <t>STARS Gain
/tree</t>
        </is>
      </c>
      <c r="N2" s="13" t="inlineStr">
        <is>
          <t>CO₂ Gain
(lbs/tree)</t>
        </is>
      </c>
      <c r="O2" s="13" t="inlineStr">
        <is>
          <t>Urgency
Score</t>
        </is>
      </c>
    </row>
    <row r="3">
      <c r="A3" s="5" t="inlineStr">
        <is>
          <t>AMERICAN SWEET GUM</t>
        </is>
      </c>
      <c r="B3" s="30" t="inlineStr">
        <is>
          <t>Priority 5</t>
        </is>
      </c>
      <c r="C3" s="14" t="n">
        <v>930</v>
      </c>
      <c r="D3" s="5" t="inlineStr">
        <is>
          <t>INTERIOR LIVE OAK</t>
        </is>
      </c>
      <c r="E3" s="14" t="n">
        <v>930</v>
      </c>
      <c r="F3" s="14" t="n">
        <v>17</v>
      </c>
      <c r="G3" s="14" t="n">
        <v>22</v>
      </c>
      <c r="H3" s="18" t="n">
        <v>651000</v>
      </c>
      <c r="I3" s="18" t="n">
        <v>372000</v>
      </c>
      <c r="J3" s="18" t="n">
        <v>130200</v>
      </c>
      <c r="K3" s="18" t="n">
        <v>153450</v>
      </c>
      <c r="L3" s="18" t="n">
        <v>1306650</v>
      </c>
      <c r="M3" s="15" t="n">
        <v>27</v>
      </c>
      <c r="N3" s="15" t="n">
        <v>468.6</v>
      </c>
      <c r="O3" s="15" t="n">
        <v>0.84</v>
      </c>
    </row>
    <row r="4">
      <c r="A4" s="7" t="inlineStr">
        <is>
          <t>BRISBANE BOX</t>
        </is>
      </c>
      <c r="B4" s="31" t="inlineStr">
        <is>
          <t>Priority 4</t>
        </is>
      </c>
      <c r="C4" s="20" t="n">
        <v>195</v>
      </c>
      <c r="D4" s="7" t="inlineStr">
        <is>
          <t>HOLLY OAK</t>
        </is>
      </c>
      <c r="E4" s="20" t="n">
        <v>195</v>
      </c>
      <c r="F4" s="20" t="n">
        <v>7</v>
      </c>
      <c r="G4" s="20" t="n">
        <v>7</v>
      </c>
      <c r="H4" s="24" t="n">
        <v>136500</v>
      </c>
      <c r="I4" s="24" t="n">
        <v>78000</v>
      </c>
      <c r="J4" s="24" t="n">
        <v>27300</v>
      </c>
      <c r="K4" s="24" t="n">
        <v>32175</v>
      </c>
      <c r="L4" s="24" t="n">
        <v>273975</v>
      </c>
      <c r="M4" s="21" t="n">
        <v>15</v>
      </c>
      <c r="N4" s="21" t="n">
        <v>220</v>
      </c>
      <c r="O4" s="21" t="n">
        <v>0.66</v>
      </c>
    </row>
    <row r="5">
      <c r="A5" s="5" t="inlineStr">
        <is>
          <t>CHINESE PISTACHE</t>
        </is>
      </c>
      <c r="B5" s="31" t="inlineStr">
        <is>
          <t>Priority 4</t>
        </is>
      </c>
      <c r="C5" s="14" t="n">
        <v>1324</v>
      </c>
      <c r="D5" s="5" t="inlineStr">
        <is>
          <t>HOLLY OAK</t>
        </is>
      </c>
      <c r="E5" s="14" t="n">
        <v>969</v>
      </c>
      <c r="F5" s="14" t="n">
        <v>22</v>
      </c>
      <c r="G5" s="14" t="n">
        <v>22</v>
      </c>
      <c r="H5" s="18" t="n">
        <v>678300</v>
      </c>
      <c r="I5" s="18" t="n">
        <v>387600</v>
      </c>
      <c r="J5" s="18" t="n">
        <v>135660</v>
      </c>
      <c r="K5" s="18" t="n">
        <v>159885</v>
      </c>
      <c r="L5" s="18" t="n">
        <v>1361445</v>
      </c>
      <c r="M5" s="15" t="n">
        <v>13.8</v>
      </c>
      <c r="N5" s="15" t="n">
        <v>353.1</v>
      </c>
      <c r="O5" s="15" t="n">
        <v>0.6899999999999999</v>
      </c>
    </row>
    <row r="6">
      <c r="A6" s="7" t="inlineStr">
        <is>
          <t>CHINESE PISTACHE</t>
        </is>
      </c>
      <c r="B6" s="31" t="inlineStr">
        <is>
          <t>Priority 4</t>
        </is>
      </c>
      <c r="C6" s="20" t="n">
        <v>1324</v>
      </c>
      <c r="D6" s="7" t="inlineStr">
        <is>
          <t>VALLEY OAK</t>
        </is>
      </c>
      <c r="E6" s="20" t="n">
        <v>356</v>
      </c>
      <c r="F6" s="20" t="n">
        <v>22</v>
      </c>
      <c r="G6" s="20" t="n">
        <v>22</v>
      </c>
      <c r="H6" s="24" t="n">
        <v>249200</v>
      </c>
      <c r="I6" s="24" t="n">
        <v>142400</v>
      </c>
      <c r="J6" s="24" t="n">
        <v>49840</v>
      </c>
      <c r="K6" s="24" t="n">
        <v>58740</v>
      </c>
      <c r="L6" s="24" t="n">
        <v>500180</v>
      </c>
      <c r="M6" s="21" t="n">
        <v>13.8</v>
      </c>
      <c r="N6" s="21" t="n">
        <v>353.1</v>
      </c>
      <c r="O6" s="21" t="n">
        <v>0.6899999999999999</v>
      </c>
    </row>
    <row r="7">
      <c r="A7" s="5" t="inlineStr">
        <is>
          <t>COAST REDWOOD</t>
        </is>
      </c>
      <c r="B7" s="30" t="inlineStr">
        <is>
          <t>Priority 5</t>
        </is>
      </c>
      <c r="C7" s="14" t="n">
        <v>1629</v>
      </c>
      <c r="D7" s="5" t="inlineStr">
        <is>
          <t>DESERT WILLOW</t>
        </is>
      </c>
      <c r="E7" s="14" t="n">
        <v>710</v>
      </c>
      <c r="F7" s="14" t="n">
        <v>22</v>
      </c>
      <c r="G7" s="14" t="n">
        <v>22</v>
      </c>
      <c r="H7" s="18" t="n">
        <v>497000</v>
      </c>
      <c r="I7" s="18" t="n">
        <v>284000</v>
      </c>
      <c r="J7" s="18" t="n">
        <v>99400</v>
      </c>
      <c r="K7" s="18" t="n">
        <v>117150</v>
      </c>
      <c r="L7" s="18" t="n">
        <v>997550</v>
      </c>
      <c r="M7" s="15" t="n">
        <v>33.8</v>
      </c>
      <c r="N7" s="15" t="n">
        <v>350.4</v>
      </c>
      <c r="O7" s="15" t="n">
        <v>0.83</v>
      </c>
    </row>
    <row r="8">
      <c r="A8" s="7" t="inlineStr">
        <is>
          <t>COAST REDWOOD</t>
        </is>
      </c>
      <c r="B8" s="30" t="inlineStr">
        <is>
          <t>Priority 5</t>
        </is>
      </c>
      <c r="C8" s="20" t="n">
        <v>1629</v>
      </c>
      <c r="D8" s="7" t="inlineStr">
        <is>
          <t>TEXAS EBONY</t>
        </is>
      </c>
      <c r="E8" s="20" t="n">
        <v>920</v>
      </c>
      <c r="F8" s="20" t="n">
        <v>22</v>
      </c>
      <c r="G8" s="20" t="n">
        <v>22</v>
      </c>
      <c r="H8" s="24" t="n">
        <v>644000</v>
      </c>
      <c r="I8" s="24" t="n">
        <v>368000</v>
      </c>
      <c r="J8" s="24" t="n">
        <v>128800</v>
      </c>
      <c r="K8" s="24" t="n">
        <v>151800</v>
      </c>
      <c r="L8" s="24" t="n">
        <v>1292600</v>
      </c>
      <c r="M8" s="21" t="n">
        <v>33.8</v>
      </c>
      <c r="N8" s="21" t="n">
        <v>350.4</v>
      </c>
      <c r="O8" s="21" t="n">
        <v>0.83</v>
      </c>
    </row>
    <row r="9">
      <c r="A9" s="5" t="inlineStr">
        <is>
          <t>CORK OAK</t>
        </is>
      </c>
      <c r="B9" s="31" t="inlineStr">
        <is>
          <t>Priority 4</t>
        </is>
      </c>
      <c r="C9" s="14" t="n">
        <v>18</v>
      </c>
      <c r="D9" s="5" t="inlineStr">
        <is>
          <t>DESERT WILLOW</t>
        </is>
      </c>
      <c r="E9" s="14" t="n">
        <v>18</v>
      </c>
      <c r="F9" s="14" t="n">
        <v>1</v>
      </c>
      <c r="G9" s="14" t="n">
        <v>1</v>
      </c>
      <c r="H9" s="18" t="n">
        <v>12600</v>
      </c>
      <c r="I9" s="18" t="n">
        <v>7200</v>
      </c>
      <c r="J9" s="18" t="n">
        <v>2520</v>
      </c>
      <c r="K9" s="18" t="n">
        <v>2970</v>
      </c>
      <c r="L9" s="18" t="n">
        <v>25290</v>
      </c>
      <c r="M9" s="15" t="n">
        <v>18.2</v>
      </c>
      <c r="N9" s="15" t="n">
        <v>400</v>
      </c>
      <c r="O9" s="15" t="n">
        <v>0.68</v>
      </c>
    </row>
    <row r="10">
      <c r="A10" s="7" t="inlineStr">
        <is>
          <t>DEODAR CEDAR</t>
        </is>
      </c>
      <c r="B10" s="31" t="inlineStr">
        <is>
          <t>Priority 4</t>
        </is>
      </c>
      <c r="C10" s="20" t="n">
        <v>190</v>
      </c>
      <c r="D10" s="7" t="inlineStr">
        <is>
          <t>DESERT WILLOW</t>
        </is>
      </c>
      <c r="E10" s="20" t="n">
        <v>190</v>
      </c>
      <c r="F10" s="20" t="n">
        <v>4</v>
      </c>
      <c r="G10" s="20" t="n">
        <v>4</v>
      </c>
      <c r="H10" s="24" t="n">
        <v>133000</v>
      </c>
      <c r="I10" s="24" t="n">
        <v>76000</v>
      </c>
      <c r="J10" s="24" t="n">
        <v>26600</v>
      </c>
      <c r="K10" s="24" t="n">
        <v>31350</v>
      </c>
      <c r="L10" s="24" t="n">
        <v>266950</v>
      </c>
      <c r="M10" s="21" t="n">
        <v>11.3</v>
      </c>
      <c r="N10" s="21" t="n">
        <v>172</v>
      </c>
      <c r="O10" s="21" t="n">
        <v>0.66</v>
      </c>
    </row>
    <row r="11">
      <c r="A11" s="5" t="inlineStr">
        <is>
          <t>MODESTO ASH</t>
        </is>
      </c>
      <c r="B11" s="31" t="inlineStr">
        <is>
          <t>Priority 4</t>
        </is>
      </c>
      <c r="C11" s="14" t="n">
        <v>194</v>
      </c>
      <c r="D11" s="5" t="inlineStr">
        <is>
          <t>COAST LIVE OAK</t>
        </is>
      </c>
      <c r="E11" s="14" t="n">
        <v>195</v>
      </c>
      <c r="F11" s="14" t="n">
        <v>5</v>
      </c>
      <c r="G11" s="14" t="n">
        <v>6</v>
      </c>
      <c r="H11" s="18" t="n">
        <v>136500</v>
      </c>
      <c r="I11" s="18" t="n">
        <v>78000</v>
      </c>
      <c r="J11" s="18" t="n">
        <v>27300</v>
      </c>
      <c r="K11" s="18" t="n">
        <v>32175</v>
      </c>
      <c r="L11" s="18" t="n">
        <v>273975</v>
      </c>
      <c r="M11" s="15" t="n">
        <v>16.9</v>
      </c>
      <c r="N11" s="15" t="n">
        <v>487.1</v>
      </c>
      <c r="O11" s="15" t="n">
        <v>0.72</v>
      </c>
    </row>
    <row r="12">
      <c r="A12" s="7" t="inlineStr">
        <is>
          <t>MUSKOGEE CRAPE MYRTLE</t>
        </is>
      </c>
      <c r="B12" s="31" t="inlineStr">
        <is>
          <t>Priority 4</t>
        </is>
      </c>
      <c r="C12" s="20" t="n">
        <v>796</v>
      </c>
      <c r="D12" s="7" t="inlineStr">
        <is>
          <t>COAST LIVE OAK</t>
        </is>
      </c>
      <c r="E12" s="20" t="n">
        <v>530</v>
      </c>
      <c r="F12" s="20" t="n">
        <v>8</v>
      </c>
      <c r="G12" s="20" t="n">
        <v>10</v>
      </c>
      <c r="H12" s="24" t="n">
        <v>371000</v>
      </c>
      <c r="I12" s="24" t="n">
        <v>212000</v>
      </c>
      <c r="J12" s="24" t="n">
        <v>74200</v>
      </c>
      <c r="K12" s="24" t="n">
        <v>87450</v>
      </c>
      <c r="L12" s="24" t="n">
        <v>744650</v>
      </c>
      <c r="M12" s="21" t="n">
        <v>24</v>
      </c>
      <c r="N12" s="21" t="n">
        <v>655.8</v>
      </c>
      <c r="O12" s="21" t="n">
        <v>0.8</v>
      </c>
    </row>
    <row r="13">
      <c r="A13" s="5" t="inlineStr">
        <is>
          <t>MUSKOGEE CRAPE MYRTLE</t>
        </is>
      </c>
      <c r="B13" s="31" t="inlineStr">
        <is>
          <t>Priority 4</t>
        </is>
      </c>
      <c r="C13" s="14" t="n">
        <v>796</v>
      </c>
      <c r="D13" s="5" t="inlineStr">
        <is>
          <t>VALLEY OAK</t>
        </is>
      </c>
      <c r="E13" s="14" t="n">
        <v>266</v>
      </c>
      <c r="F13" s="14" t="n">
        <v>10</v>
      </c>
      <c r="G13" s="14" t="n">
        <v>10</v>
      </c>
      <c r="H13" s="18" t="n">
        <v>186200</v>
      </c>
      <c r="I13" s="18" t="n">
        <v>106400</v>
      </c>
      <c r="J13" s="18" t="n">
        <v>37240</v>
      </c>
      <c r="K13" s="18" t="n">
        <v>43890</v>
      </c>
      <c r="L13" s="18" t="n">
        <v>373730</v>
      </c>
      <c r="M13" s="15" t="n">
        <v>24</v>
      </c>
      <c r="N13" s="15" t="n">
        <v>655.8</v>
      </c>
      <c r="O13" s="15" t="n">
        <v>0.8</v>
      </c>
    </row>
    <row r="14">
      <c r="A14" s="7" t="inlineStr">
        <is>
          <t>RAYWOOD ASH</t>
        </is>
      </c>
      <c r="B14" s="31" t="inlineStr">
        <is>
          <t>Priority 4</t>
        </is>
      </c>
      <c r="C14" s="20" t="n">
        <v>360</v>
      </c>
      <c r="D14" s="7" t="inlineStr">
        <is>
          <t>NETLEAF HACKBERRY</t>
        </is>
      </c>
      <c r="E14" s="20" t="n">
        <v>361</v>
      </c>
      <c r="F14" s="20" t="n">
        <v>13</v>
      </c>
      <c r="G14" s="20" t="n">
        <v>17</v>
      </c>
      <c r="H14" s="24" t="n">
        <v>252700</v>
      </c>
      <c r="I14" s="24" t="n">
        <v>144400</v>
      </c>
      <c r="J14" s="24" t="n">
        <v>50540</v>
      </c>
      <c r="K14" s="24" t="n">
        <v>59565</v>
      </c>
      <c r="L14" s="24" t="n">
        <v>507205</v>
      </c>
      <c r="M14" s="21" t="n">
        <v>21.8</v>
      </c>
      <c r="N14" s="21" t="n">
        <v>483.9</v>
      </c>
      <c r="O14" s="21" t="n">
        <v>0.72</v>
      </c>
    </row>
    <row r="15">
      <c r="A15" s="5" t="inlineStr">
        <is>
          <t>RED MAPLE 'OCTOBER GLORY'</t>
        </is>
      </c>
      <c r="B15" s="30" t="inlineStr">
        <is>
          <t>Priority 5</t>
        </is>
      </c>
      <c r="C15" s="14" t="n">
        <v>454</v>
      </c>
      <c r="D15" s="5" t="inlineStr">
        <is>
          <t>VALLEY OAK</t>
        </is>
      </c>
      <c r="E15" s="14" t="n">
        <v>454</v>
      </c>
      <c r="F15" s="14" t="n">
        <v>2</v>
      </c>
      <c r="G15" s="14" t="n">
        <v>2</v>
      </c>
      <c r="H15" s="18" t="n">
        <v>317800</v>
      </c>
      <c r="I15" s="18" t="n">
        <v>181600</v>
      </c>
      <c r="J15" s="18" t="n">
        <v>63560</v>
      </c>
      <c r="K15" s="18" t="n">
        <v>74910</v>
      </c>
      <c r="L15" s="18" t="n">
        <v>637870</v>
      </c>
      <c r="M15" s="15" t="n">
        <v>27.5</v>
      </c>
      <c r="N15" s="15" t="n">
        <v>0</v>
      </c>
      <c r="O15" s="15" t="n">
        <v>0.76</v>
      </c>
    </row>
    <row r="16">
      <c r="A16" s="7" t="inlineStr">
        <is>
          <t>SOUTHERN MAGNOLIA</t>
        </is>
      </c>
      <c r="B16" s="31" t="inlineStr">
        <is>
          <t>Priority 4</t>
        </is>
      </c>
      <c r="C16" s="20" t="n">
        <v>912</v>
      </c>
      <c r="D16" s="7" t="inlineStr">
        <is>
          <t>NETLEAF HACKBERRY</t>
        </is>
      </c>
      <c r="E16" s="20" t="n">
        <v>913</v>
      </c>
      <c r="F16" s="20" t="n">
        <v>11</v>
      </c>
      <c r="G16" s="20" t="n">
        <v>22</v>
      </c>
      <c r="H16" s="24" t="n">
        <v>639100</v>
      </c>
      <c r="I16" s="24" t="n">
        <v>365200</v>
      </c>
      <c r="J16" s="24" t="n">
        <v>127820</v>
      </c>
      <c r="K16" s="24" t="n">
        <v>150645</v>
      </c>
      <c r="L16" s="24" t="n">
        <v>1282765</v>
      </c>
      <c r="M16" s="21" t="n">
        <v>20.8</v>
      </c>
      <c r="N16" s="21" t="n">
        <v>108.4</v>
      </c>
      <c r="O16" s="21" t="n">
        <v>0.62</v>
      </c>
    </row>
    <row r="17">
      <c r="A17" s="5" t="inlineStr">
        <is>
          <t>STONE FRUIT SPECIES</t>
        </is>
      </c>
      <c r="B17" s="31" t="inlineStr">
        <is>
          <t>Priority 4</t>
        </is>
      </c>
      <c r="C17" s="14" t="n">
        <v>4</v>
      </c>
      <c r="D17" s="5" t="inlineStr">
        <is>
          <t>WESTERN REDBUD</t>
        </is>
      </c>
      <c r="E17" s="14" t="n">
        <v>4</v>
      </c>
      <c r="F17" s="14" t="n">
        <v>22</v>
      </c>
      <c r="G17" s="14" t="n">
        <v>22</v>
      </c>
      <c r="H17" s="18" t="n">
        <v>2800</v>
      </c>
      <c r="I17" s="18" t="n">
        <v>1600</v>
      </c>
      <c r="J17" s="18" t="n">
        <v>560</v>
      </c>
      <c r="K17" s="18" t="n">
        <v>660</v>
      </c>
      <c r="L17" s="18" t="n">
        <v>5620</v>
      </c>
      <c r="M17" s="15" t="n">
        <v>22.7</v>
      </c>
      <c r="N17" s="15" t="n">
        <v>715</v>
      </c>
      <c r="O17" s="15" t="n">
        <v>0.78</v>
      </c>
    </row>
    <row r="18">
      <c r="A18" s="7" t="inlineStr">
        <is>
          <t>WHITE ALDER</t>
        </is>
      </c>
      <c r="B18" s="31" t="inlineStr">
        <is>
          <t>Priority 4</t>
        </is>
      </c>
      <c r="C18" s="20" t="n">
        <v>15</v>
      </c>
      <c r="D18" s="7" t="inlineStr">
        <is>
          <t>WESTERN REDBUD</t>
        </is>
      </c>
      <c r="E18" s="20" t="n">
        <v>16</v>
      </c>
      <c r="F18" s="20" t="n">
        <v>3</v>
      </c>
      <c r="G18" s="20" t="n">
        <v>3</v>
      </c>
      <c r="H18" s="24" t="n">
        <v>11200</v>
      </c>
      <c r="I18" s="24" t="n">
        <v>6400</v>
      </c>
      <c r="J18" s="24" t="n">
        <v>2240</v>
      </c>
      <c r="K18" s="24" t="n">
        <v>2640</v>
      </c>
      <c r="L18" s="24" t="n">
        <v>22480</v>
      </c>
      <c r="M18" s="21" t="n">
        <v>24.6</v>
      </c>
      <c r="N18" s="21" t="n">
        <v>543.9</v>
      </c>
      <c r="O18" s="21" t="n">
        <v>0.82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30" customWidth="1" min="4" max="4"/>
  </cols>
  <sheetData>
    <row r="1" ht="18" customHeight="1">
      <c r="A1" s="3" t="inlineStr">
        <is>
          <t xml:space="preserve">  Budget &amp; Cost Assumptions  (update B-column to recalculate)</t>
        </is>
      </c>
    </row>
    <row r="2" ht="22" customHeight="1">
      <c r="A2" s="4" t="inlineStr">
        <is>
          <t>Parameter</t>
        </is>
      </c>
      <c r="B2" s="4" t="inlineStr">
        <is>
          <t>Value</t>
        </is>
      </c>
      <c r="C2" s="4" t="inlineStr">
        <is>
          <t>Unit</t>
        </is>
      </c>
      <c r="D2" s="4" t="inlineStr">
        <is>
          <t>Notes</t>
        </is>
      </c>
    </row>
    <row r="3">
      <c r="A3" s="5" t="inlineStr">
        <is>
          <t>Annual Urban Forestry Budget</t>
        </is>
      </c>
      <c r="B3" s="32" t="n">
        <v>500000</v>
      </c>
      <c r="C3" s="5" t="inlineStr">
        <is>
          <t>$</t>
        </is>
      </c>
      <c r="D3" s="5" t="inlineStr">
        <is>
          <t>Total allocated per year</t>
        </is>
      </c>
    </row>
    <row r="4">
      <c r="A4" s="7" t="inlineStr">
        <is>
          <t>Cost per Tree Removal</t>
        </is>
      </c>
      <c r="B4" s="32" t="n">
        <v>700</v>
      </c>
      <c r="C4" s="7" t="inlineStr">
        <is>
          <t>$/tree</t>
        </is>
      </c>
      <c r="D4" s="7" t="inlineStr">
        <is>
          <t>Includes stump grinding</t>
        </is>
      </c>
    </row>
    <row r="5">
      <c r="A5" s="5" t="inlineStr">
        <is>
          <t>Cost per New Tree Planting</t>
        </is>
      </c>
      <c r="B5" s="32" t="n">
        <v>400</v>
      </c>
      <c r="C5" s="5" t="inlineStr">
        <is>
          <t>$/tree</t>
        </is>
      </c>
      <c r="D5" s="5" t="inlineStr">
        <is>
          <t>Standard parkway planting</t>
        </is>
      </c>
    </row>
    <row r="6">
      <c r="A6" s="7" t="inlineStr">
        <is>
          <t>Cost per Large Tree Planting</t>
        </is>
      </c>
      <c r="B6" s="32" t="n">
        <v>900</v>
      </c>
      <c r="C6" s="7" t="inlineStr">
        <is>
          <t>$/tree</t>
        </is>
      </c>
      <c r="D6" s="7" t="inlineStr">
        <is>
          <t>Specimen / 36-inch box</t>
        </is>
      </c>
    </row>
    <row r="7">
      <c r="A7" s="5" t="inlineStr">
        <is>
          <t>Cost — Watering (first 3 yrs)</t>
        </is>
      </c>
      <c r="B7" s="32" t="n">
        <v>140</v>
      </c>
      <c r="C7" s="5" t="inlineStr">
        <is>
          <t>$/tree</t>
        </is>
      </c>
      <c r="D7" s="5" t="inlineStr">
        <is>
          <t>Establishment irrigation</t>
        </is>
      </c>
    </row>
    <row r="8">
      <c r="A8" s="7" t="inlineStr">
        <is>
          <t>Cost per Tree Maintenance (p.a.)</t>
        </is>
      </c>
      <c r="B8" s="32" t="n">
        <v>95</v>
      </c>
      <c r="C8" s="7" t="inlineStr">
        <is>
          <t>$/tree/yr</t>
        </is>
      </c>
      <c r="D8" s="7" t="inlineStr">
        <is>
          <t>Pruning, inspection</t>
        </is>
      </c>
    </row>
    <row r="9">
      <c r="A9" s="5" t="inlineStr">
        <is>
          <t>Replanting Overhead %</t>
        </is>
      </c>
      <c r="B9" s="33" t="n">
        <v>0.15</v>
      </c>
      <c r="C9" s="5" t="inlineStr">
        <is>
          <t>%</t>
        </is>
      </c>
      <c r="D9" s="5" t="inlineStr">
        <is>
          <t>Admin, permits, site prep</t>
        </is>
      </c>
    </row>
    <row r="10">
      <c r="A10" s="7" t="inlineStr">
        <is>
          <t>Replacement Rate</t>
        </is>
      </c>
      <c r="B10" s="33" t="n">
        <v>0.6</v>
      </c>
      <c r="C10" s="7" t="inlineStr">
        <is>
          <t>%</t>
        </is>
      </c>
      <c r="D10" s="7" t="inlineStr">
        <is>
          <t>Fraction of at-risk trees replaced</t>
        </is>
      </c>
    </row>
    <row r="11">
      <c r="A11" s="5" t="inlineStr">
        <is>
          <t>Simulation Horizon</t>
        </is>
      </c>
      <c r="B11" s="34" t="n">
        <v>25</v>
      </c>
      <c r="C11" s="5" t="inlineStr">
        <is>
          <t>years</t>
        </is>
      </c>
      <c r="D11" s="5" t="inlineStr"/>
    </row>
    <row r="12">
      <c r="A12" s="7" t="inlineStr">
        <is>
          <t>Max Swap Actions per Year</t>
        </is>
      </c>
      <c r="B12" s="34" t="n">
        <v>5</v>
      </c>
      <c r="C12" s="7" t="inlineStr">
        <is>
          <t>—</t>
        </is>
      </c>
      <c r="D12" s="7" t="inlineStr">
        <is>
          <t>RL scheduler cap</t>
        </is>
      </c>
    </row>
    <row r="13">
      <c r="A13" s="5" t="inlineStr">
        <is>
          <t>Climate Temp (Current)</t>
        </is>
      </c>
      <c r="B13" s="34" t="n">
        <v>76</v>
      </c>
      <c r="C13" s="5" t="inlineStr">
        <is>
          <t>°F</t>
        </is>
      </c>
      <c r="D13" s="5" t="inlineStr">
        <is>
          <t>Baseline for scoring</t>
        </is>
      </c>
    </row>
    <row r="14">
      <c r="A14" s="7" t="inlineStr">
        <is>
          <t>Climate Temp (2050 Projection)</t>
        </is>
      </c>
      <c r="B14" s="34" t="n">
        <v>80.40000000000001</v>
      </c>
      <c r="C14" s="7" t="inlineStr">
        <is>
          <t>°F</t>
        </is>
      </c>
      <c r="D14" s="7" t="inlineStr">
        <is>
          <t>Used in resilience scoring</t>
        </is>
      </c>
    </row>
    <row r="15">
      <c r="A15" s="5" t="inlineStr">
        <is>
          <t>Climate Rainfall (Current)</t>
        </is>
      </c>
      <c r="B15" s="34" t="n">
        <v>15.5</v>
      </c>
      <c r="C15" s="5" t="inlineStr">
        <is>
          <t>in/yr</t>
        </is>
      </c>
      <c r="D15" s="5" t="inlineStr"/>
    </row>
    <row r="16">
      <c r="A16" s="7" t="inlineStr">
        <is>
          <t>Climate Rainfall (2050)</t>
        </is>
      </c>
      <c r="B16" s="34" t="n">
        <v>13.2</v>
      </c>
      <c r="C16" s="7" t="inlineStr">
        <is>
          <t>in/yr</t>
        </is>
      </c>
      <c r="D16" s="7" t="inlineStr"/>
    </row>
    <row r="19" ht="30" customHeight="1">
      <c r="A19" s="35" t="inlineStr">
        <is>
          <t>ℹ  Blue cells = hardcoded inputs from CITY_BUDGET. All cost totals on other sheets are derived from these values. Source: city-supplied budget parameters, STARS scoring model (Anthropic/GNN pipeline).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1" customWidth="1" min="4" max="4"/>
    <col width="23" customWidth="1" min="5" max="5"/>
    <col width="20" customWidth="1" min="6" max="6"/>
    <col width="21" customWidth="1" min="7" max="7"/>
    <col width="23" customWidth="1" min="8" max="8"/>
    <col width="22" customWidth="1" min="9" max="9"/>
    <col width="21" customWidth="1" min="10" max="10"/>
  </cols>
  <sheetData>
    <row r="1" ht="18" customHeight="1">
      <c r="A1" s="3" t="inlineStr">
        <is>
          <t xml:space="preserve">  MtView  ·  Cumulative Performance Metrics (chart-ready)</t>
        </is>
      </c>
    </row>
    <row r="2" ht="22" customHeight="1">
      <c r="A2" s="13" t="inlineStr">
        <is>
          <t>Year</t>
        </is>
      </c>
      <c r="B2" s="13" t="inlineStr">
        <is>
          <t>STARS Score</t>
        </is>
      </c>
      <c r="C2" s="13" t="inlineStr">
        <is>
          <t>Cumul. STARS Gain</t>
        </is>
      </c>
      <c r="D2" s="13" t="inlineStr">
        <is>
          <t>Trees Replaced (yr)</t>
        </is>
      </c>
      <c r="E2" s="13" t="inlineStr">
        <is>
          <t>Cumul. Trees Replaced</t>
        </is>
      </c>
      <c r="F2" s="13" t="inlineStr">
        <is>
          <t>Annual Cost ($)</t>
        </is>
      </c>
      <c r="G2" s="13" t="inlineStr">
        <is>
          <t>Cumulative Cost ($)</t>
        </is>
      </c>
      <c r="H2" s="13" t="inlineStr">
        <is>
          <t>Avg CO₂ (lbs/tree/yr)</t>
        </is>
      </c>
      <c r="I2" s="13" t="inlineStr">
        <is>
          <t>Avg AQ (lbs/tree/yr)</t>
        </is>
      </c>
      <c r="J2" s="13" t="inlineStr">
        <is>
          <t>% Swaps Done</t>
        </is>
      </c>
    </row>
    <row r="3">
      <c r="A3" s="14" t="n">
        <v>1</v>
      </c>
      <c r="B3" s="15" t="n">
        <v>40.86679657053781</v>
      </c>
      <c r="C3" s="15" t="n">
        <v>2.780900716781616</v>
      </c>
      <c r="D3" s="14" t="n">
        <v>18</v>
      </c>
      <c r="E3" s="14" t="n">
        <v>18</v>
      </c>
      <c r="F3" s="18" t="n">
        <v>1097613.689904132</v>
      </c>
      <c r="G3" s="18" t="n">
        <v>1097613.689904132</v>
      </c>
      <c r="H3" s="15" t="n">
        <v>435.3100132501949</v>
      </c>
      <c r="I3" s="15" t="n">
        <v>32.96265783320344</v>
      </c>
      <c r="J3" s="17" t="n">
        <v>0.102677047252655</v>
      </c>
    </row>
    <row r="4">
      <c r="A4" s="20" t="n">
        <v>2</v>
      </c>
      <c r="B4" s="21" t="n">
        <v>41.86382846390642</v>
      </c>
      <c r="C4" s="21" t="n">
        <v>3.777932610150224</v>
      </c>
      <c r="D4" s="20" t="n">
        <v>454</v>
      </c>
      <c r="E4" s="20" t="n">
        <v>472</v>
      </c>
      <c r="F4" s="24" t="n">
        <v>1710193.689904132</v>
      </c>
      <c r="G4" s="24" t="n">
        <v>2807807.379808263</v>
      </c>
      <c r="H4" s="21" t="n">
        <v>421.0697934370991</v>
      </c>
      <c r="I4" s="21" t="n">
        <v>33.42455820874371</v>
      </c>
      <c r="J4" s="23" t="n">
        <v>0.2153846025466919</v>
      </c>
    </row>
    <row r="5">
      <c r="A5" s="14" t="n">
        <v>3</v>
      </c>
      <c r="B5" s="15" t="n">
        <v>42.30426253705907</v>
      </c>
      <c r="C5" s="15" t="n">
        <v>4.218366683302875</v>
      </c>
      <c r="D5" s="14" t="n">
        <v>16</v>
      </c>
      <c r="E5" s="14" t="n">
        <v>488</v>
      </c>
      <c r="F5" s="18" t="n">
        <v>1094803.689904132</v>
      </c>
      <c r="G5" s="18" t="n">
        <v>3902611.069712395</v>
      </c>
      <c r="H5" s="15" t="n">
        <v>413.5590291581962</v>
      </c>
      <c r="I5" s="15" t="n">
        <v>33.2521333438162</v>
      </c>
      <c r="J5" s="17" t="n">
        <v>0.3072874546051025</v>
      </c>
    </row>
    <row r="6">
      <c r="A6" s="20" t="n">
        <v>4</v>
      </c>
      <c r="B6" s="21" t="n">
        <v>42.77678199647115</v>
      </c>
      <c r="C6" s="21" t="n">
        <v>4.690886142714959</v>
      </c>
      <c r="D6" s="20" t="n">
        <v>190</v>
      </c>
      <c r="E6" s="20" t="n">
        <v>678</v>
      </c>
      <c r="F6" s="24" t="n">
        <v>1339273.689904132</v>
      </c>
      <c r="G6" s="24" t="n">
        <v>5241884.759616527</v>
      </c>
      <c r="H6" s="21" t="n">
        <v>419.7915309276513</v>
      </c>
      <c r="I6" s="21" t="n">
        <v>33.58925316715507</v>
      </c>
      <c r="J6" s="23" t="n">
        <v>0.3846153616905212</v>
      </c>
    </row>
    <row r="7">
      <c r="A7" s="14" t="n">
        <v>5</v>
      </c>
      <c r="B7" s="15" t="n">
        <v>43.78811358821324</v>
      </c>
      <c r="C7" s="15" t="n">
        <v>5.702217734457051</v>
      </c>
      <c r="D7" s="14" t="n">
        <v>194</v>
      </c>
      <c r="E7" s="14" t="n">
        <v>872</v>
      </c>
      <c r="F7" s="18" t="n">
        <v>1344893.689904132</v>
      </c>
      <c r="G7" s="18" t="n">
        <v>6586778.449520659</v>
      </c>
      <c r="H7" s="15" t="n">
        <v>430.19535385544</v>
      </c>
      <c r="I7" s="15" t="n">
        <v>33.52687052362557</v>
      </c>
      <c r="J7" s="17" t="n">
        <v>0.47700035572052</v>
      </c>
    </row>
    <row r="8">
      <c r="A8" s="20" t="n">
        <v>6</v>
      </c>
      <c r="B8" s="21" t="n">
        <v>44.86973994595574</v>
      </c>
      <c r="C8" s="21" t="n">
        <v>6.783844092199551</v>
      </c>
      <c r="D8" s="20" t="n">
        <v>1</v>
      </c>
      <c r="E8" s="20" t="n">
        <v>873</v>
      </c>
      <c r="F8" s="24" t="n">
        <v>1073728.689904132</v>
      </c>
      <c r="G8" s="24" t="n">
        <v>7660507.139424791</v>
      </c>
      <c r="H8" s="21" t="n">
        <v>446.7798054350041</v>
      </c>
      <c r="I8" s="21" t="n">
        <v>34.55310361776401</v>
      </c>
      <c r="J8" s="23" t="n">
        <v>0.5113065242767334</v>
      </c>
    </row>
    <row r="9">
      <c r="A9" s="14" t="n">
        <v>7</v>
      </c>
      <c r="B9" s="15" t="n">
        <v>45.95686971182068</v>
      </c>
      <c r="C9" s="15" t="n">
        <v>7.870973858064488</v>
      </c>
      <c r="D9" s="14" t="n">
        <v>195</v>
      </c>
      <c r="E9" s="14" t="n">
        <v>1068</v>
      </c>
      <c r="F9" s="18" t="n">
        <v>1346298.689904132</v>
      </c>
      <c r="G9" s="18" t="n">
        <v>9006805.829328923</v>
      </c>
      <c r="H9" s="15" t="n">
        <v>446.3234142112201</v>
      </c>
      <c r="I9" s="15" t="n">
        <v>35.10401490346354</v>
      </c>
      <c r="J9" s="17" t="n">
        <v>0.5447031259536743</v>
      </c>
    </row>
    <row r="10">
      <c r="A10" s="20" t="n">
        <v>8</v>
      </c>
      <c r="B10" s="21" t="n">
        <v>46.98838270239013</v>
      </c>
      <c r="C10" s="21" t="n">
        <v>8.902486848633941</v>
      </c>
      <c r="D10" s="20" t="n">
        <v>160</v>
      </c>
      <c r="E10" s="20" t="n">
        <v>1228</v>
      </c>
      <c r="F10" s="24" t="n">
        <v>1297123.689904132</v>
      </c>
      <c r="G10" s="24" t="n">
        <v>10303929.51923305</v>
      </c>
      <c r="H10" s="21" t="n">
        <v>427.1957051144172</v>
      </c>
      <c r="I10" s="21" t="n">
        <v>33.97948686865774</v>
      </c>
      <c r="J10" s="23" t="n">
        <v>0.5746457576751709</v>
      </c>
    </row>
    <row r="11">
      <c r="A11" s="14" t="n">
        <v>9</v>
      </c>
      <c r="B11" s="15" t="n">
        <v>48.06194683828714</v>
      </c>
      <c r="C11" s="15" t="n">
        <v>9.97605098453095</v>
      </c>
      <c r="D11" s="14" t="n">
        <v>355</v>
      </c>
      <c r="E11" s="14" t="n">
        <v>1583</v>
      </c>
      <c r="F11" s="18" t="n">
        <v>1571098.689904132</v>
      </c>
      <c r="G11" s="18" t="n">
        <v>11875028.20913718</v>
      </c>
      <c r="H11" s="15" t="n">
        <v>419.1711147615467</v>
      </c>
      <c r="I11" s="15" t="n">
        <v>33.00754945011951</v>
      </c>
      <c r="J11" s="17" t="n">
        <v>0.6505004167556763</v>
      </c>
    </row>
    <row r="12">
      <c r="A12" s="20" t="n">
        <v>10</v>
      </c>
      <c r="B12" s="21" t="n">
        <v>49.4150619570463</v>
      </c>
      <c r="C12" s="21" t="n">
        <v>11.32916610329011</v>
      </c>
      <c r="D12" s="20" t="n">
        <v>281</v>
      </c>
      <c r="E12" s="20" t="n">
        <v>1864</v>
      </c>
      <c r="F12" s="24" t="n">
        <v>1467128.689904132</v>
      </c>
      <c r="G12" s="24" t="n">
        <v>13342156.89904132</v>
      </c>
      <c r="H12" s="21" t="n">
        <v>433.0893417344717</v>
      </c>
      <c r="I12" s="21" t="n">
        <v>33.22998610223787</v>
      </c>
      <c r="J12" s="23" t="n">
        <v>0.6804356575012207</v>
      </c>
    </row>
    <row r="13">
      <c r="A13" s="14" t="n">
        <v>11</v>
      </c>
      <c r="B13" s="15" t="n">
        <v>50.7889787173833</v>
      </c>
      <c r="C13" s="15" t="n">
        <v>12.70308286362711</v>
      </c>
      <c r="D13" s="14" t="n">
        <v>74</v>
      </c>
      <c r="E13" s="14" t="n">
        <v>1938</v>
      </c>
      <c r="F13" s="18" t="n">
        <v>1176293.689904132</v>
      </c>
      <c r="G13" s="18" t="n">
        <v>14518450.58894545</v>
      </c>
      <c r="H13" s="15" t="n">
        <v>447.5571483388294</v>
      </c>
      <c r="I13" s="15" t="n">
        <v>33.47605613774092</v>
      </c>
      <c r="J13" s="17" t="n">
        <v>0.7097988128662109</v>
      </c>
    </row>
    <row r="14">
      <c r="A14" s="20" t="n">
        <v>12</v>
      </c>
      <c r="B14" s="21" t="n">
        <v>52.0671636481715</v>
      </c>
      <c r="C14" s="21" t="n">
        <v>13.98126779441531</v>
      </c>
      <c r="D14" s="20" t="n">
        <v>355</v>
      </c>
      <c r="E14" s="20" t="n">
        <v>2293</v>
      </c>
      <c r="F14" s="24" t="n">
        <v>1571098.689904132</v>
      </c>
      <c r="G14" s="24" t="n">
        <v>16089549.27884958</v>
      </c>
      <c r="H14" s="21" t="n">
        <v>449.5938429464595</v>
      </c>
      <c r="I14" s="21" t="n">
        <v>33.20628380158011</v>
      </c>
      <c r="J14" s="23" t="n">
        <v>0.7393724918365479</v>
      </c>
    </row>
    <row r="15">
      <c r="A15" s="14" t="n">
        <v>13</v>
      </c>
      <c r="B15" s="15" t="n">
        <v>53.16175129594545</v>
      </c>
      <c r="C15" s="15" t="n">
        <v>15.07585544218926</v>
      </c>
      <c r="D15" s="14" t="n">
        <v>242</v>
      </c>
      <c r="E15" s="14" t="n">
        <v>2535</v>
      </c>
      <c r="F15" s="18" t="n">
        <v>1412333.689904132</v>
      </c>
      <c r="G15" s="18" t="n">
        <v>17501882.96875371</v>
      </c>
      <c r="H15" s="15" t="n">
        <v>429.2965182409175</v>
      </c>
      <c r="I15" s="15" t="n">
        <v>32.01299345261963</v>
      </c>
      <c r="J15" s="17" t="n">
        <v>0.7692307829856873</v>
      </c>
    </row>
    <row r="16">
      <c r="A16" s="20" t="n">
        <v>14</v>
      </c>
      <c r="B16" s="21" t="n">
        <v>54.18937792421942</v>
      </c>
      <c r="C16" s="21" t="n">
        <v>16.10348207046323</v>
      </c>
      <c r="D16" s="20" t="n">
        <v>118</v>
      </c>
      <c r="E16" s="20" t="n">
        <v>2653</v>
      </c>
      <c r="F16" s="24" t="n">
        <v>1238113.689904132</v>
      </c>
      <c r="G16" s="24" t="n">
        <v>18739996.65865784</v>
      </c>
      <c r="H16" s="21" t="n">
        <v>439.5639507208273</v>
      </c>
      <c r="I16" s="21" t="n">
        <v>30.97948363798704</v>
      </c>
      <c r="J16" s="23" t="n">
        <v>0.866546630859375</v>
      </c>
    </row>
    <row r="17">
      <c r="A17" s="14" t="n">
        <v>15</v>
      </c>
      <c r="B17" s="15" t="n">
        <v>55.23399257285772</v>
      </c>
      <c r="C17" s="15" t="n">
        <v>17.14809671910153</v>
      </c>
      <c r="D17" s="14" t="n">
        <v>0</v>
      </c>
      <c r="E17" s="14" t="n">
        <v>2653</v>
      </c>
      <c r="F17" s="18" t="n">
        <v>1072323.689904132</v>
      </c>
      <c r="G17" s="18" t="n">
        <v>19812320.34856197</v>
      </c>
      <c r="H17" s="15" t="n">
        <v>450.0457828007972</v>
      </c>
      <c r="I17" s="15" t="n">
        <v>29.92319006781117</v>
      </c>
      <c r="J17" s="17" t="n">
        <v>0.887171745300293</v>
      </c>
    </row>
    <row r="18">
      <c r="A18" s="20" t="n">
        <v>16</v>
      </c>
      <c r="B18" s="21" t="n">
        <v>56.13112744920747</v>
      </c>
      <c r="C18" s="21" t="n">
        <v>18.04523159545128</v>
      </c>
      <c r="D18" s="20" t="n">
        <v>0</v>
      </c>
      <c r="E18" s="20" t="n">
        <v>2653</v>
      </c>
      <c r="F18" s="24" t="n">
        <v>1072323.689904132</v>
      </c>
      <c r="G18" s="24" t="n">
        <v>20884644.0384661</v>
      </c>
      <c r="H18" s="21" t="n">
        <v>444.2324802503845</v>
      </c>
      <c r="I18" s="21" t="n">
        <v>30.51109273952902</v>
      </c>
      <c r="J18" s="23" t="n">
        <v>0.9077968597412109</v>
      </c>
    </row>
    <row r="19">
      <c r="A19" s="14" t="n">
        <v>17</v>
      </c>
      <c r="B19" s="15" t="n">
        <v>57.38967532344142</v>
      </c>
      <c r="C19" s="15" t="n">
        <v>19.30377946968523</v>
      </c>
      <c r="D19" s="14" t="n">
        <v>312</v>
      </c>
      <c r="E19" s="14" t="n">
        <v>2965</v>
      </c>
      <c r="F19" s="18" t="n">
        <v>1510683.689904132</v>
      </c>
      <c r="G19" s="18" t="n">
        <v>22395327.72837023</v>
      </c>
      <c r="H19" s="15" t="n">
        <v>454.4080447414372</v>
      </c>
      <c r="I19" s="15" t="n">
        <v>29.43310742233763</v>
      </c>
      <c r="J19" s="17" t="n">
        <v>0.927374005317688</v>
      </c>
    </row>
    <row r="20">
      <c r="A20" s="20" t="n">
        <v>18</v>
      </c>
      <c r="B20" s="21" t="n">
        <v>59.21502496506145</v>
      </c>
      <c r="C20" s="21" t="n">
        <v>21.12912911130526</v>
      </c>
      <c r="D20" s="20" t="n">
        <v>0</v>
      </c>
      <c r="E20" s="20" t="n">
        <v>2965</v>
      </c>
      <c r="F20" s="24" t="n">
        <v>1072323.689904132</v>
      </c>
      <c r="G20" s="24" t="n">
        <v>23467651.41827437</v>
      </c>
      <c r="H20" s="21" t="n">
        <v>463.1940160293827</v>
      </c>
      <c r="I20" s="21" t="n">
        <v>28.33992205471306</v>
      </c>
      <c r="J20" s="23" t="n">
        <v>0.9441375136375427</v>
      </c>
    </row>
    <row r="21">
      <c r="A21" s="14" t="n">
        <v>19</v>
      </c>
      <c r="B21" s="15" t="n">
        <v>60.96941056416164</v>
      </c>
      <c r="C21" s="15" t="n">
        <v>22.88351471040545</v>
      </c>
      <c r="D21" s="14" t="n">
        <v>0</v>
      </c>
      <c r="E21" s="14" t="n">
        <v>2965</v>
      </c>
      <c r="F21" s="18" t="n">
        <v>1072323.689904132</v>
      </c>
      <c r="G21" s="18" t="n">
        <v>24539975.1081785</v>
      </c>
      <c r="H21" s="15" t="n">
        <v>452.2641595484388</v>
      </c>
      <c r="I21" s="15" t="n">
        <v>27.82933770784042</v>
      </c>
      <c r="J21" s="17" t="n">
        <v>0.9609009623527527</v>
      </c>
    </row>
    <row r="22">
      <c r="A22" s="20" t="n">
        <v>20</v>
      </c>
      <c r="B22" s="21" t="n">
        <v>62.8450609476089</v>
      </c>
      <c r="C22" s="21" t="n">
        <v>24.75916509385271</v>
      </c>
      <c r="D22" s="20" t="n">
        <v>0</v>
      </c>
      <c r="E22" s="20" t="n">
        <v>2965</v>
      </c>
      <c r="F22" s="24" t="n">
        <v>1072323.689904132</v>
      </c>
      <c r="G22" s="24" t="n">
        <v>25612298.79808263</v>
      </c>
      <c r="H22" s="21" t="n">
        <v>461.2922438340151</v>
      </c>
      <c r="I22" s="21" t="n">
        <v>26.7060276815245</v>
      </c>
      <c r="J22" s="23" t="n">
        <v>0.9776644706726074</v>
      </c>
    </row>
    <row r="23">
      <c r="A23" s="14" t="n">
        <v>21</v>
      </c>
      <c r="B23" s="15" t="n">
        <v>64.64852293131759</v>
      </c>
      <c r="C23" s="15" t="n">
        <v>26.56262707756139</v>
      </c>
      <c r="D23" s="14" t="n">
        <v>0</v>
      </c>
      <c r="E23" s="14" t="n">
        <v>2965</v>
      </c>
      <c r="F23" s="18" t="n">
        <v>1072323.689904132</v>
      </c>
      <c r="G23" s="18" t="n">
        <v>26684622.48798676</v>
      </c>
      <c r="H23" s="15" t="n">
        <v>450.0566405203052</v>
      </c>
      <c r="I23" s="15" t="n">
        <v>26.18116048041786</v>
      </c>
      <c r="J23" s="17" t="n">
        <v>0.9944279193878174</v>
      </c>
    </row>
    <row r="24">
      <c r="A24" s="20" t="n">
        <v>22</v>
      </c>
      <c r="B24" s="21" t="n">
        <v>65.29511233838089</v>
      </c>
      <c r="C24" s="21" t="n">
        <v>27.2092164846247</v>
      </c>
      <c r="D24" s="20" t="n">
        <v>4062</v>
      </c>
      <c r="E24" s="20" t="n">
        <v>7027</v>
      </c>
      <c r="F24" s="24" t="n">
        <v>6779433.689904132</v>
      </c>
      <c r="G24" s="24" t="n">
        <v>33464056.17789089</v>
      </c>
      <c r="H24" s="21" t="n">
        <v>453.1688749306431</v>
      </c>
      <c r="I24" s="21" t="n">
        <v>25.79392394088276</v>
      </c>
      <c r="J24" s="23" t="n">
        <v>1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2026-08-01T19:02:48Z</dcterms:created>
  <dcterms:modified xmlns:dcterms="http://purl.org/dc/terms/" xmlns:xsi="http://www.w3.org/2001/XMLSchema-instance" xsi:type="dcterms:W3CDTF">2026-08-01T19:02:49Z</dcterms:modified>
</cp:coreProperties>
</file>