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Year-by-Year Plan" sheetId="2" state="visible" r:id="rId2"/>
    <sheet xmlns:r="http://schemas.openxmlformats.org/officeDocument/2006/relationships" name="Species Swap Detail" sheetId="3" state="visible" r:id="rId3"/>
    <sheet xmlns:r="http://schemas.openxmlformats.org/officeDocument/2006/relationships" name="Budget Assumptions" sheetId="4" state="visible" r:id="rId4"/>
    <sheet xmlns:r="http://schemas.openxmlformats.org/officeDocument/2006/relationships" name="Cumulative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$#,##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1A5276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E8449"/>
      <sz val="10"/>
    </font>
    <font>
      <name val="Arial"/>
      <b val="1"/>
      <color rgb="00F39C12"/>
      <sz val="10"/>
    </font>
    <font>
      <name val="Arial"/>
      <b val="1"/>
      <sz val="10"/>
    </font>
    <font>
      <name val="Arial"/>
      <b val="1"/>
      <color rgb="00C0392B"/>
      <sz val="10"/>
    </font>
    <font>
      <name val="Arial"/>
      <b val="1"/>
      <color rgb="002471A3"/>
      <sz val="10"/>
    </font>
    <font>
      <name val="Arial"/>
      <i val="1"/>
      <color rgb="00555555"/>
      <sz val="9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/>
    </xf>
    <xf numFmtId="0" fontId="8" fillId="6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166" fontId="9" fillId="8" borderId="1" applyAlignment="1" pivotButton="0" quotePrefix="0" xfId="0">
      <alignment horizontal="right" vertical="center"/>
    </xf>
    <xf numFmtId="165" fontId="9" fillId="8" borderId="1" applyAlignment="1" pivotButton="0" quotePrefix="0" xfId="0">
      <alignment horizontal="right" vertical="center"/>
    </xf>
    <xf numFmtId="164" fontId="9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Cupertino — STARS Score Trajectory (25 Years)</a:t>
            </a:r>
          </a:p>
        </rich>
      </tx>
    </title>
    <plotArea>
      <lineChart>
        <grouping val="standard"/>
        <ser>
          <idx val="0"/>
          <order val="0"/>
          <tx>
            <strRef>
              <f>'Cumulative Metrics'!B2</f>
            </strRef>
          </tx>
          <spPr>
            <a:ln xmlns:a="http://schemas.openxmlformats.org/drawingml/2006/main" w="25000">
              <a:solidFill>
                <a:srgbClr val="1E844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'Cumulative Metrics'!$A$3:$A$27</f>
            </numRef>
          </cat>
          <val>
            <numRef>
              <f>'Cumulative Metrics'!$B$3:$B$27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STARS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Cupertino — Annual Programme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'Cumulative Metrics'!F2</f>
            </strRef>
          </tx>
          <spPr>
            <a:solidFill xmlns:a="http://schemas.openxmlformats.org/drawingml/2006/main">
              <a:srgbClr val="1A5276"/>
            </a:solidFill>
            <a:ln xmlns:a="http://schemas.openxmlformats.org/drawingml/2006/main">
              <a:prstDash val="solid"/>
            </a:ln>
          </spPr>
          <cat>
            <numRef>
              <f>'Cumulative Metrics'!$A$3:$A$27</f>
            </numRef>
          </cat>
          <val>
            <numRef>
              <f>'Cumulative Metrics'!$F$3:$F$27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2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20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0" customWidth="1" min="3" max="3"/>
    <col width="19" customWidth="1" min="4" max="4"/>
  </cols>
  <sheetData>
    <row r="1" ht="36" customHeight="1">
      <c r="A1" s="1" t="inlineStr">
        <is>
          <t>🌳  Cupertino Urban Forest — 25-Year Action Plan</t>
        </is>
      </c>
    </row>
    <row r="2" ht="16" customHeight="1">
      <c r="A2" s="2" t="inlineStr">
        <is>
          <t>GNN-Optimised · RL Swap Scheduler · Budget: $917,000/yr · Replacement Rate: 60%</t>
        </is>
      </c>
    </row>
    <row r="3"/>
    <row r="4" ht="18" customHeight="1">
      <c r="A4" s="3" t="inlineStr">
        <is>
          <t xml:space="preserve">  KEY PERFORMANCE INDICATORS</t>
        </is>
      </c>
    </row>
    <row r="5" ht="22" customHeight="1">
      <c r="A5" s="4" t="inlineStr">
        <is>
          <t>Metric</t>
        </is>
      </c>
      <c r="B5" s="4" t="inlineStr">
        <is>
          <t>Value</t>
        </is>
      </c>
      <c r="C5" s="4" t="inlineStr">
        <is>
          <t>vs Baseline / Notes</t>
        </is>
      </c>
      <c r="D5" s="4" t="inlineStr"/>
    </row>
    <row r="6">
      <c r="A6" s="5" t="inlineStr">
        <is>
          <t>Current STARS Score</t>
        </is>
      </c>
      <c r="B6" s="6" t="inlineStr">
        <is>
          <t>44.24</t>
        </is>
      </c>
      <c r="C6" s="5" t="inlineStr">
        <is>
          <t>Year 1 starting score</t>
        </is>
      </c>
      <c r="D6" s="5" t="inlineStr"/>
    </row>
    <row r="7">
      <c r="A7" s="7" t="inlineStr">
        <is>
          <t>Projected Year-25 STARS</t>
        </is>
      </c>
      <c r="B7" s="8" t="inlineStr">
        <is>
          <t>65.33</t>
        </is>
      </c>
      <c r="C7" s="7" t="inlineStr">
        <is>
          <t>RL-optimised endpoint</t>
        </is>
      </c>
      <c r="D7" s="7" t="inlineStr"/>
    </row>
    <row r="8">
      <c r="A8" s="5" t="inlineStr">
        <is>
          <t>Total STARS Uplift</t>
        </is>
      </c>
      <c r="B8" s="6" t="inlineStr">
        <is>
          <t>+21.09 pts</t>
        </is>
      </c>
      <c r="C8" s="5" t="inlineStr">
        <is>
          <t>Net improvement</t>
        </is>
      </c>
      <c r="D8" s="5" t="inlineStr"/>
    </row>
    <row r="9">
      <c r="A9" s="7" t="inlineStr">
        <is>
          <t>Total Trees Replaced</t>
        </is>
      </c>
      <c r="B9" s="8" t="inlineStr">
        <is>
          <t>9,651</t>
        </is>
      </c>
      <c r="C9" s="7" t="inlineStr">
        <is>
          <t>Over 25-year horizon</t>
        </is>
      </c>
      <c r="D9" s="7" t="inlineStr"/>
    </row>
    <row r="10">
      <c r="A10" s="5" t="inlineStr">
        <is>
          <t>Total Programme Cost</t>
        </is>
      </c>
      <c r="B10" s="6" t="inlineStr">
        <is>
          <t>$47,707,616</t>
        </is>
      </c>
      <c r="C10" s="5" t="inlineStr">
        <is>
          <t>Removal + planting + maint</t>
        </is>
      </c>
      <c r="D10" s="5" t="inlineStr"/>
    </row>
    <row r="11">
      <c r="A11" s="7" t="inlineStr">
        <is>
          <t>Annual Budget</t>
        </is>
      </c>
      <c r="B11" s="8" t="inlineStr">
        <is>
          <t>$917,000</t>
        </is>
      </c>
      <c r="C11" s="7" t="inlineStr">
        <is>
          <t>Allocated per year</t>
        </is>
      </c>
      <c r="D11" s="7" t="inlineStr"/>
    </row>
    <row r="12">
      <c r="A12" s="5" t="inlineStr">
        <is>
          <t>Species Batches Scheduled</t>
        </is>
      </c>
      <c r="B12" s="6" t="inlineStr">
        <is>
          <t>26</t>
        </is>
      </c>
      <c r="C12" s="5" t="inlineStr">
        <is>
          <t>P4/P5 + over-represented</t>
        </is>
      </c>
      <c r="D12" s="5" t="inlineStr"/>
    </row>
    <row r="13">
      <c r="A13" s="7" t="inlineStr">
        <is>
          <t>Year-25 Avg CO₂ (lbs/tree)</t>
        </is>
      </c>
      <c r="B13" s="8" t="inlineStr">
        <is>
          <t>453.1</t>
        </is>
      </c>
      <c r="C13" s="7" t="inlineStr">
        <is>
          <t>Population-weighted</t>
        </is>
      </c>
      <c r="D13" s="7" t="inlineStr"/>
    </row>
    <row r="14">
      <c r="A14" s="5" t="inlineStr">
        <is>
          <t>Year-25 Avg AQ (lbs/tree)</t>
        </is>
      </c>
      <c r="B14" s="6" t="inlineStr">
        <is>
          <t>26.96</t>
        </is>
      </c>
      <c r="C14" s="5" t="inlineStr">
        <is>
          <t>PM2.5 + O₃ + NO₂</t>
        </is>
      </c>
      <c r="D14" s="5" t="inlineStr"/>
    </row>
    <row r="15">
      <c r="A15" s="7" t="inlineStr">
        <is>
          <t>RL vs Naive Improvement</t>
        </is>
      </c>
      <c r="B15" s="8" t="inlineStr">
        <is>
          <t>+0.336 pts</t>
        </is>
      </c>
      <c r="C15" s="7" t="inlineStr">
        <is>
          <t>Scheduling optimisation gain</t>
        </is>
      </c>
      <c r="D15" s="7" t="inlineStr"/>
    </row>
    <row r="16"/>
    <row r="17"/>
    <row r="18" ht="18" customHeight="1">
      <c r="A18" s="3" t="inlineStr">
        <is>
          <t xml:space="preserve">  PROGRAMME PHASES (Budget Profile)</t>
        </is>
      </c>
    </row>
    <row r="19" ht="22" customHeight="1">
      <c r="A19" s="4" t="inlineStr">
        <is>
          <t>Phase</t>
        </is>
      </c>
      <c r="B19" s="4" t="inlineStr">
        <is>
          <t>Years</t>
        </is>
      </c>
      <c r="C19" s="4" t="inlineStr">
        <is>
          <t>Focus</t>
        </is>
      </c>
      <c r="D19" s="4" t="inlineStr">
        <is>
          <t>Est. Annual Spend</t>
        </is>
      </c>
    </row>
    <row r="20">
      <c r="A20" s="5" t="inlineStr">
        <is>
          <t>Phase 1 — Triage</t>
        </is>
      </c>
      <c r="B20" s="9" t="inlineStr">
        <is>
          <t>Yrs 1–5</t>
        </is>
      </c>
      <c r="C20" s="5" t="inlineStr">
        <is>
          <t>Remove P5 species; plant high-priority natives</t>
        </is>
      </c>
      <c r="D20" s="10" t="inlineStr">
        <is>
          <t>$1,821,981</t>
        </is>
      </c>
    </row>
    <row r="21">
      <c r="A21" s="7" t="inlineStr">
        <is>
          <t>Phase 2 — Transition</t>
        </is>
      </c>
      <c r="B21" s="11" t="inlineStr">
        <is>
          <t>Yrs 6–15</t>
        </is>
      </c>
      <c r="C21" s="7" t="inlineStr">
        <is>
          <t>Reduce P4 species; diversify genus mix; add shade canopy</t>
        </is>
      </c>
      <c r="D21" s="12" t="inlineStr">
        <is>
          <t>$1,936,348</t>
        </is>
      </c>
    </row>
    <row r="22">
      <c r="A22" s="5" t="inlineStr">
        <is>
          <t>Phase 3 — Resilience</t>
        </is>
      </c>
      <c r="B22" s="9" t="inlineStr">
        <is>
          <t>Yrs 16–25</t>
        </is>
      </c>
      <c r="C22" s="5" t="inlineStr">
        <is>
          <t>Fine-tune species balance; climate adaptation; maintenance</t>
        </is>
      </c>
      <c r="D22" s="10" t="inlineStr">
        <is>
          <t>$1,923,422</t>
        </is>
      </c>
    </row>
  </sheetData>
  <mergeCells count="4">
    <mergeCell ref="A1:D1"/>
    <mergeCell ref="A4:D4"/>
    <mergeCell ref="A2:D2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5" customWidth="1" min="17" max="17"/>
  </cols>
  <sheetData>
    <row r="1" ht="18" customHeight="1">
      <c r="A1" s="3" t="inlineStr">
        <is>
          <t xml:space="preserve">  Cupertino  ·  25-Year Urban Forestry Action Plan  ·  Budget: $917,000/yr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STARS Δ</t>
        </is>
      </c>
      <c r="D2" s="13" t="inlineStr">
        <is>
          <t>Avg CO₂
(lbs/tree/yr)</t>
        </is>
      </c>
      <c r="E2" s="13" t="inlineStr">
        <is>
          <t>Avg AQ
(lbs/tree/yr)</t>
        </is>
      </c>
      <c r="F2" s="13" t="inlineStr">
        <is>
          <t>% Swaps
Complete</t>
        </is>
      </c>
      <c r="G2" s="13" t="inlineStr">
        <is>
          <t>Actions
Taken</t>
        </is>
      </c>
      <c r="H2" s="13" t="inlineStr">
        <is>
          <t>Trees
Replaced</t>
        </is>
      </c>
      <c r="I2" s="13" t="inlineStr">
        <is>
          <t>Removal
Cost ($)</t>
        </is>
      </c>
      <c r="J2" s="13" t="inlineStr">
        <is>
          <t>Planting
Cost ($)</t>
        </is>
      </c>
      <c r="K2" s="13" t="inlineStr">
        <is>
          <t>Watering
Cost ($)</t>
        </is>
      </c>
      <c r="L2" s="13" t="inlineStr">
        <is>
          <t>Overhead
($)</t>
        </is>
      </c>
      <c r="M2" s="13" t="inlineStr">
        <is>
          <t>Maint
Cost ($)</t>
        </is>
      </c>
      <c r="N2" s="13" t="inlineStr">
        <is>
          <t>TOTAL
Cost ($)</t>
        </is>
      </c>
      <c r="O2" s="13" t="inlineStr">
        <is>
          <t>Budget
Remaining ($)</t>
        </is>
      </c>
      <c r="P2" s="13" t="inlineStr">
        <is>
          <t>Cumulative
Cost ($)</t>
        </is>
      </c>
      <c r="Q2" s="13" t="inlineStr">
        <is>
          <t>Swap Batches Executed</t>
        </is>
      </c>
    </row>
    <row r="3">
      <c r="A3" s="14" t="n">
        <v>1</v>
      </c>
      <c r="B3" s="15" t="n">
        <v>44.24350702576115</v>
      </c>
      <c r="C3" s="16" t="n">
        <v>1.60202617645264</v>
      </c>
      <c r="D3" s="15" t="n">
        <v>355.1794607728338</v>
      </c>
      <c r="E3" s="15" t="n">
        <v>31.38301112412179</v>
      </c>
      <c r="F3" s="17" t="n">
        <v>0.07672065496444702</v>
      </c>
      <c r="G3" s="14" t="n">
        <v>4</v>
      </c>
      <c r="H3" s="14" t="n">
        <v>131</v>
      </c>
      <c r="I3" s="18" t="n">
        <v>91700</v>
      </c>
      <c r="J3" s="18" t="n">
        <v>52400</v>
      </c>
      <c r="K3" s="18" t="n">
        <v>18340</v>
      </c>
      <c r="L3" s="18" t="n">
        <v>21615</v>
      </c>
      <c r="M3" s="18" t="n">
        <v>1365918.434998834</v>
      </c>
      <c r="N3" s="19" t="n">
        <v>1549973.434998834</v>
      </c>
      <c r="O3" s="18" t="n">
        <v>647240</v>
      </c>
      <c r="P3" s="18" t="n">
        <v>1549973.434998834</v>
      </c>
      <c r="Q3" s="5" t="inlineStr">
        <is>
          <t>CALIFORNIA SYCAMORE; CALIFORNIA SYCAMORE; WATER GUM TREE; WATER GUM TREE</t>
        </is>
      </c>
    </row>
    <row r="4">
      <c r="A4" s="20" t="n">
        <v>2</v>
      </c>
      <c r="B4" s="21" t="n">
        <v>45.05615339578453</v>
      </c>
      <c r="C4" s="22" t="n">
        <v>0.812646370023387</v>
      </c>
      <c r="D4" s="21" t="n">
        <v>339.0450132531403</v>
      </c>
      <c r="E4" s="21" t="n">
        <v>30.75556807536725</v>
      </c>
      <c r="F4" s="23" t="n">
        <v>0.1153846383094788</v>
      </c>
      <c r="G4" s="20" t="n">
        <v>4</v>
      </c>
      <c r="H4" s="20" t="n">
        <v>286</v>
      </c>
      <c r="I4" s="24" t="n">
        <v>200200</v>
      </c>
      <c r="J4" s="24" t="n">
        <v>114400</v>
      </c>
      <c r="K4" s="24" t="n">
        <v>40040</v>
      </c>
      <c r="L4" s="24" t="n">
        <v>47190</v>
      </c>
      <c r="M4" s="24" t="n">
        <v>1365918.434998834</v>
      </c>
      <c r="N4" s="19" t="n">
        <v>1767748.434998834</v>
      </c>
      <c r="O4" s="24" t="n">
        <v>446325</v>
      </c>
      <c r="P4" s="24" t="n">
        <v>3317721.869997668</v>
      </c>
      <c r="Q4" s="7" t="inlineStr">
        <is>
          <t>WATER GUM TREE; RED MAPLE 'OCTOBER GLORY'; RED MAPLE 'OCTOBER GLORY'; RED MAPLE 'OCTOBER GLORY'</t>
        </is>
      </c>
    </row>
    <row r="5">
      <c r="A5" s="14" t="n">
        <v>3</v>
      </c>
      <c r="B5" s="15" t="n">
        <v>46.20858307740873</v>
      </c>
      <c r="C5" s="16" t="n">
        <v>1.152429681624191</v>
      </c>
      <c r="D5" s="15" t="n">
        <v>341.4075075439591</v>
      </c>
      <c r="E5" s="15" t="n">
        <v>30.5616645622802</v>
      </c>
      <c r="F5" s="17" t="n">
        <v>0.1667263507843018</v>
      </c>
      <c r="G5" s="14" t="n">
        <v>4</v>
      </c>
      <c r="H5" s="14" t="n">
        <v>370</v>
      </c>
      <c r="I5" s="18" t="n">
        <v>259000</v>
      </c>
      <c r="J5" s="18" t="n">
        <v>148000</v>
      </c>
      <c r="K5" s="18" t="n">
        <v>51800</v>
      </c>
      <c r="L5" s="18" t="n">
        <v>61050</v>
      </c>
      <c r="M5" s="18" t="n">
        <v>1365918.434998834</v>
      </c>
      <c r="N5" s="19" t="n">
        <v>1885768.434998834</v>
      </c>
      <c r="O5" s="18" t="n">
        <v>170945</v>
      </c>
      <c r="P5" s="18" t="n">
        <v>5203490.304996502</v>
      </c>
      <c r="Q5" s="5" t="inlineStr">
        <is>
          <t>MODESTO ASH; MODESTO ASH; MODESTO ASH; MODESTO ASH</t>
        </is>
      </c>
    </row>
    <row r="6">
      <c r="A6" s="20" t="n">
        <v>4</v>
      </c>
      <c r="B6" s="21" t="n">
        <v>47.5325850450084</v>
      </c>
      <c r="C6" s="22" t="n">
        <v>1.324001967599678</v>
      </c>
      <c r="D6" s="21" t="n">
        <v>367.8119588151776</v>
      </c>
      <c r="E6" s="21" t="n">
        <v>31.08601317497734</v>
      </c>
      <c r="F6" s="23" t="n">
        <v>0.2092011570930481</v>
      </c>
      <c r="G6" s="20" t="n">
        <v>4</v>
      </c>
      <c r="H6" s="20" t="n">
        <v>415</v>
      </c>
      <c r="I6" s="24" t="n">
        <v>290500</v>
      </c>
      <c r="J6" s="24" t="n">
        <v>166000</v>
      </c>
      <c r="K6" s="24" t="n">
        <v>58100</v>
      </c>
      <c r="L6" s="24" t="n">
        <v>68475</v>
      </c>
      <c r="M6" s="24" t="n">
        <v>1365918.434998834</v>
      </c>
      <c r="N6" s="19" t="n">
        <v>1948993.434998834</v>
      </c>
      <c r="O6" s="24" t="n">
        <v>940</v>
      </c>
      <c r="P6" s="24" t="n">
        <v>7152483.739995336</v>
      </c>
      <c r="Q6" s="7" t="inlineStr">
        <is>
          <t>CAMPHOR TREE; CAMPHOR TREE; CAMPHOR TREE; TUSCARORA CRAPE MYRTLE</t>
        </is>
      </c>
    </row>
    <row r="7">
      <c r="A7" s="14" t="n">
        <v>5</v>
      </c>
      <c r="B7" s="15" t="n">
        <v>48.49595867618608</v>
      </c>
      <c r="C7" s="16" t="n">
        <v>0.9633736311776744</v>
      </c>
      <c r="D7" s="15" t="n">
        <v>384.7546607303113</v>
      </c>
      <c r="E7" s="15" t="n">
        <v>30.87796904228783</v>
      </c>
      <c r="F7" s="17" t="n">
        <v>0.2379420399665833</v>
      </c>
      <c r="G7" s="14" t="n">
        <v>3</v>
      </c>
      <c r="H7" s="14" t="n">
        <v>421</v>
      </c>
      <c r="I7" s="18" t="n">
        <v>294700</v>
      </c>
      <c r="J7" s="18" t="n">
        <v>168400</v>
      </c>
      <c r="K7" s="18" t="n">
        <v>58940</v>
      </c>
      <c r="L7" s="18" t="n">
        <v>69465</v>
      </c>
      <c r="M7" s="18" t="n">
        <v>1365918.434998834</v>
      </c>
      <c r="N7" s="19" t="n">
        <v>1957423.434998834</v>
      </c>
      <c r="O7" s="18" t="n">
        <v>940</v>
      </c>
      <c r="P7" s="18" t="n">
        <v>9109907.174994171</v>
      </c>
      <c r="Q7" s="5" t="inlineStr">
        <is>
          <t>TUSCARORA CRAPE MYRTLE; TUSCARORA CRAPE MYRTLE; TUSCARORA CRAPE MYRTLE</t>
        </is>
      </c>
    </row>
    <row r="8">
      <c r="A8" s="20" t="n">
        <v>6</v>
      </c>
      <c r="B8" s="21" t="n">
        <v>48.86197695740302</v>
      </c>
      <c r="C8" s="22" t="n">
        <v>0.3660182812169381</v>
      </c>
      <c r="D8" s="21" t="n">
        <v>384.6299731839625</v>
      </c>
      <c r="E8" s="21" t="n">
        <v>28.77316281634468</v>
      </c>
      <c r="F8" s="23" t="n">
        <v>0.2632211446762085</v>
      </c>
      <c r="G8" s="20" t="n">
        <v>1</v>
      </c>
      <c r="H8" s="20" t="n">
        <v>87</v>
      </c>
      <c r="I8" s="24" t="n">
        <v>60900</v>
      </c>
      <c r="J8" s="24" t="n">
        <v>34800</v>
      </c>
      <c r="K8" s="24" t="n">
        <v>12180</v>
      </c>
      <c r="L8" s="24" t="n">
        <v>14355</v>
      </c>
      <c r="M8" s="24" t="n">
        <v>1365918.434998834</v>
      </c>
      <c r="N8" s="19" t="n">
        <v>1488153.434998834</v>
      </c>
      <c r="O8" s="24" t="n">
        <v>940</v>
      </c>
      <c r="P8" s="24" t="n">
        <v>10598060.60999301</v>
      </c>
      <c r="Q8" s="7" t="inlineStr">
        <is>
          <t>COAST LIVE OAK</t>
        </is>
      </c>
    </row>
    <row r="9">
      <c r="A9" s="14" t="n">
        <v>7</v>
      </c>
      <c r="B9" s="15" t="n">
        <v>49.81546267924682</v>
      </c>
      <c r="C9" s="16" t="n">
        <v>0.9534857218438049</v>
      </c>
      <c r="D9" s="15" t="n">
        <v>385.0385546745845</v>
      </c>
      <c r="E9" s="15" t="n">
        <v>28.57629730967074</v>
      </c>
      <c r="F9" s="17" t="n">
        <v>0.3075891733169556</v>
      </c>
      <c r="G9" s="14" t="n">
        <v>4</v>
      </c>
      <c r="H9" s="14" t="n">
        <v>652</v>
      </c>
      <c r="I9" s="18" t="n">
        <v>456400</v>
      </c>
      <c r="J9" s="18" t="n">
        <v>260800</v>
      </c>
      <c r="K9" s="18" t="n">
        <v>91280</v>
      </c>
      <c r="L9" s="18" t="n">
        <v>107580</v>
      </c>
      <c r="M9" s="18" t="n">
        <v>1365918.434998834</v>
      </c>
      <c r="N9" s="19" t="n">
        <v>2281978.434998834</v>
      </c>
      <c r="O9" s="18" t="n">
        <v>176565</v>
      </c>
      <c r="P9" s="18" t="n">
        <v>12880039.04499184</v>
      </c>
      <c r="Q9" s="5" t="inlineStr">
        <is>
          <t>COAST LIVE OAK; COAST LIVE OAK; MAIDENHAIR TREE; MAIDENHAIR TREE</t>
        </is>
      </c>
    </row>
    <row r="10">
      <c r="A10" s="20" t="n">
        <v>8</v>
      </c>
      <c r="B10" s="21" t="n">
        <v>50.43006306336141</v>
      </c>
      <c r="C10" s="22" t="n">
        <v>0.6146003841145884</v>
      </c>
      <c r="D10" s="21" t="n">
        <v>392.4276563633022</v>
      </c>
      <c r="E10" s="21" t="n">
        <v>28.94839397466712</v>
      </c>
      <c r="F10" s="23" t="n">
        <v>0.3461538553237915</v>
      </c>
      <c r="G10" s="20" t="n">
        <v>4</v>
      </c>
      <c r="H10" s="20" t="n">
        <v>807</v>
      </c>
      <c r="I10" s="24" t="n">
        <v>564900</v>
      </c>
      <c r="J10" s="24" t="n">
        <v>322800</v>
      </c>
      <c r="K10" s="24" t="n">
        <v>112980</v>
      </c>
      <c r="L10" s="24" t="n">
        <v>133155</v>
      </c>
      <c r="M10" s="24" t="n">
        <v>1365918.434998834</v>
      </c>
      <c r="N10" s="19" t="n">
        <v>2499753.434998834</v>
      </c>
      <c r="O10" s="24" t="n">
        <v>501120</v>
      </c>
      <c r="P10" s="24" t="n">
        <v>15379792.47999067</v>
      </c>
      <c r="Q10" s="7" t="inlineStr">
        <is>
          <t>MAIDENHAIR TREE; RAYWOOD ASH; RAYWOOD ASH; RAYWOOD ASH</t>
        </is>
      </c>
    </row>
    <row r="11">
      <c r="A11" s="14" t="n">
        <v>9</v>
      </c>
      <c r="B11" s="15" t="n">
        <v>52.57267370975297</v>
      </c>
      <c r="C11" s="16" t="n">
        <v>2.14261064639156</v>
      </c>
      <c r="D11" s="15" t="n">
        <v>390.7801343905427</v>
      </c>
      <c r="E11" s="15" t="n">
        <v>27.60582998322915</v>
      </c>
      <c r="F11" s="17" t="n">
        <v>0.3739245533943176</v>
      </c>
      <c r="G11" s="14" t="n">
        <v>2</v>
      </c>
      <c r="H11" s="14" t="n">
        <v>250</v>
      </c>
      <c r="I11" s="18" t="n">
        <v>175000</v>
      </c>
      <c r="J11" s="18" t="n">
        <v>100000</v>
      </c>
      <c r="K11" s="18" t="n">
        <v>35000</v>
      </c>
      <c r="L11" s="18" t="n">
        <v>41250</v>
      </c>
      <c r="M11" s="18" t="n">
        <v>1365918.434998834</v>
      </c>
      <c r="N11" s="19" t="n">
        <v>1717168.434998834</v>
      </c>
      <c r="O11" s="18" t="n">
        <v>940</v>
      </c>
      <c r="P11" s="18" t="n">
        <v>17096960.91498951</v>
      </c>
      <c r="Q11" s="5" t="inlineStr">
        <is>
          <t>COAST REDWOOD; COAST REDWOOD</t>
        </is>
      </c>
    </row>
    <row r="12">
      <c r="A12" s="20" t="n">
        <v>10</v>
      </c>
      <c r="B12" s="21" t="n">
        <v>54.27962226741829</v>
      </c>
      <c r="C12" s="22" t="n">
        <v>1.706948557665321</v>
      </c>
      <c r="D12" s="21" t="n">
        <v>373.5286445410864</v>
      </c>
      <c r="E12" s="21" t="n">
        <v>26.1064193639233</v>
      </c>
      <c r="F12" s="23" t="n">
        <v>0.4212497472763062</v>
      </c>
      <c r="G12" s="20" t="n">
        <v>4</v>
      </c>
      <c r="H12" s="20" t="n">
        <v>321</v>
      </c>
      <c r="I12" s="24" t="n">
        <v>224700</v>
      </c>
      <c r="J12" s="24" t="n">
        <v>128400</v>
      </c>
      <c r="K12" s="24" t="n">
        <v>44940</v>
      </c>
      <c r="L12" s="24" t="n">
        <v>52965</v>
      </c>
      <c r="M12" s="24" t="n">
        <v>1365918.434998834</v>
      </c>
      <c r="N12" s="19" t="n">
        <v>1816923.434998834</v>
      </c>
      <c r="O12" s="24" t="n">
        <v>940</v>
      </c>
      <c r="P12" s="24" t="n">
        <v>18913884.34998834</v>
      </c>
      <c r="Q12" s="7" t="inlineStr">
        <is>
          <t>COAST REDWOOD; COAST REDWOOD; SOUTHERN MAGNOLIA; SOUTHERN MAGNOLIA</t>
        </is>
      </c>
    </row>
    <row r="13">
      <c r="A13" s="14" t="n">
        <v>11</v>
      </c>
      <c r="B13" s="15" t="n">
        <v>54.95392305104998</v>
      </c>
      <c r="C13" s="16" t="n">
        <v>0.6743007836316934</v>
      </c>
      <c r="D13" s="15" t="n">
        <v>367.2800782152897</v>
      </c>
      <c r="E13" s="15" t="n">
        <v>25.43178931846437</v>
      </c>
      <c r="F13" s="17" t="n">
        <v>0.4615384340286255</v>
      </c>
      <c r="G13" s="14" t="n">
        <v>4</v>
      </c>
      <c r="H13" s="14" t="n">
        <v>701</v>
      </c>
      <c r="I13" s="18" t="n">
        <v>490700</v>
      </c>
      <c r="J13" s="18" t="n">
        <v>280400</v>
      </c>
      <c r="K13" s="18" t="n">
        <v>98140</v>
      </c>
      <c r="L13" s="18" t="n">
        <v>115665</v>
      </c>
      <c r="M13" s="18" t="n">
        <v>1365918.434998834</v>
      </c>
      <c r="N13" s="19" t="n">
        <v>2350823.434998834</v>
      </c>
      <c r="O13" s="18" t="n">
        <v>474425</v>
      </c>
      <c r="P13" s="18" t="n">
        <v>21264707.78498717</v>
      </c>
      <c r="Q13" s="5" t="inlineStr">
        <is>
          <t>SOUTHERN MAGNOLIA; SOUTHERN MAGNOLIA; SHAMEL ASH; SHAMEL ASH</t>
        </is>
      </c>
    </row>
    <row r="14">
      <c r="A14" s="20" t="n">
        <v>12</v>
      </c>
      <c r="B14" s="21" t="n">
        <v>55.62102685268414</v>
      </c>
      <c r="C14" s="22" t="n">
        <v>0.6671038016341555</v>
      </c>
      <c r="D14" s="21" t="n">
        <v>371.3743279517781</v>
      </c>
      <c r="E14" s="21" t="n">
        <v>24.94422258478275</v>
      </c>
      <c r="F14" s="23" t="n">
        <v>0.5</v>
      </c>
      <c r="G14" s="20" t="n">
        <v>4</v>
      </c>
      <c r="H14" s="20" t="n">
        <v>440</v>
      </c>
      <c r="I14" s="24" t="n">
        <v>308000</v>
      </c>
      <c r="J14" s="24" t="n">
        <v>176000</v>
      </c>
      <c r="K14" s="24" t="n">
        <v>61600</v>
      </c>
      <c r="L14" s="24" t="n">
        <v>72600</v>
      </c>
      <c r="M14" s="24" t="n">
        <v>1365918.434998834</v>
      </c>
      <c r="N14" s="19" t="n">
        <v>1984118.434998834</v>
      </c>
      <c r="O14" s="24" t="n">
        <v>596660</v>
      </c>
      <c r="P14" s="24" t="n">
        <v>23248826.21998601</v>
      </c>
      <c r="Q14" s="7" t="inlineStr">
        <is>
          <t>SHAMEL ASH; ARISTOCRAT FLOWERING PEAR; ARISTOCRAT FLOWERING PEAR; ARISTOCRAT FLOWERING PEAR</t>
        </is>
      </c>
    </row>
    <row r="15">
      <c r="A15" s="14" t="n">
        <v>13</v>
      </c>
      <c r="B15" s="15" t="n">
        <v>56.13766209494722</v>
      </c>
      <c r="C15" s="16" t="n">
        <v>0.5166352422630851</v>
      </c>
      <c r="D15" s="15" t="n">
        <v>380.7857794952196</v>
      </c>
      <c r="E15" s="15" t="n">
        <v>25.2751800085992</v>
      </c>
      <c r="F15" s="17" t="n">
        <v>0.553113579750061</v>
      </c>
      <c r="G15" s="14" t="n">
        <v>4</v>
      </c>
      <c r="H15" s="14" t="n">
        <v>281</v>
      </c>
      <c r="I15" s="18" t="n">
        <v>196700</v>
      </c>
      <c r="J15" s="18" t="n">
        <v>112400</v>
      </c>
      <c r="K15" s="18" t="n">
        <v>39340</v>
      </c>
      <c r="L15" s="18" t="n">
        <v>46365</v>
      </c>
      <c r="M15" s="18" t="n">
        <v>1365918.434998834</v>
      </c>
      <c r="N15" s="19" t="n">
        <v>1760723.434998834</v>
      </c>
      <c r="O15" s="18" t="n">
        <v>592445</v>
      </c>
      <c r="P15" s="18" t="n">
        <v>25009549.65498484</v>
      </c>
      <c r="Q15" s="5" t="inlineStr">
        <is>
          <t>PURPLE-LEAFED PLUM; PURPLE-LEAFED PLUM; PURPLE-LEAFED PLUM; PURPLE-LEAFED PLUM</t>
        </is>
      </c>
    </row>
    <row r="16">
      <c r="A16" s="20" t="n">
        <v>14</v>
      </c>
      <c r="B16" s="21" t="n">
        <v>57.53015513808282</v>
      </c>
      <c r="C16" s="22" t="n">
        <v>1.392493043135595</v>
      </c>
      <c r="D16" s="21" t="n">
        <v>396.406289577692</v>
      </c>
      <c r="E16" s="21" t="n">
        <v>25.84937445596725</v>
      </c>
      <c r="F16" s="23" t="n">
        <v>0.5971360206604004</v>
      </c>
      <c r="G16" s="20" t="n">
        <v>4</v>
      </c>
      <c r="H16" s="20" t="n">
        <v>295</v>
      </c>
      <c r="I16" s="24" t="n">
        <v>206500</v>
      </c>
      <c r="J16" s="24" t="n">
        <v>118000</v>
      </c>
      <c r="K16" s="24" t="n">
        <v>41300</v>
      </c>
      <c r="L16" s="24" t="n">
        <v>48675</v>
      </c>
      <c r="M16" s="24" t="n">
        <v>1365918.434998834</v>
      </c>
      <c r="N16" s="19" t="n">
        <v>1780393.434998834</v>
      </c>
      <c r="O16" s="24" t="n">
        <v>940</v>
      </c>
      <c r="P16" s="24" t="n">
        <v>26789943.08998367</v>
      </c>
      <c r="Q16" s="7" t="inlineStr">
        <is>
          <t>CORK OAK; CORK OAK; CORK OAK; CHINESE PISTACHE</t>
        </is>
      </c>
    </row>
    <row r="17">
      <c r="A17" s="14" t="n">
        <v>15</v>
      </c>
      <c r="B17" s="15" t="n">
        <v>58.77385658091405</v>
      </c>
      <c r="C17" s="16" t="n">
        <v>1.243701442831231</v>
      </c>
      <c r="D17" s="15" t="n">
        <v>410.3919895606125</v>
      </c>
      <c r="E17" s="15" t="n">
        <v>26.40943618850336</v>
      </c>
      <c r="F17" s="17" t="n">
        <v>0.615384578704834</v>
      </c>
      <c r="G17" s="14" t="n">
        <v>3</v>
      </c>
      <c r="H17" s="14" t="n">
        <v>226</v>
      </c>
      <c r="I17" s="18" t="n">
        <v>158200</v>
      </c>
      <c r="J17" s="18" t="n">
        <v>90400</v>
      </c>
      <c r="K17" s="18" t="n">
        <v>31640</v>
      </c>
      <c r="L17" s="18" t="n">
        <v>37290</v>
      </c>
      <c r="M17" s="18" t="n">
        <v>1365918.434998834</v>
      </c>
      <c r="N17" s="19" t="n">
        <v>1683448.434998834</v>
      </c>
      <c r="O17" s="18" t="n">
        <v>106315</v>
      </c>
      <c r="P17" s="18" t="n">
        <v>28473391.5249825</v>
      </c>
      <c r="Q17" s="5" t="inlineStr">
        <is>
          <t>CHINESE PISTACHE; CHINESE PISTACHE; CHINESE PISTACHE</t>
        </is>
      </c>
    </row>
    <row r="18">
      <c r="A18" s="20" t="n">
        <v>16</v>
      </c>
      <c r="B18" s="21" t="n">
        <v>58.77385658091402</v>
      </c>
      <c r="C18" s="21" t="n">
        <v>-2.842170943040401e-14</v>
      </c>
      <c r="D18" s="21" t="n">
        <v>410.3919895606124</v>
      </c>
      <c r="E18" s="21" t="n">
        <v>26.40943618850334</v>
      </c>
      <c r="F18" s="23" t="n">
        <v>0.615384578704834</v>
      </c>
      <c r="G18" s="20" t="n">
        <v>0</v>
      </c>
      <c r="H18" s="20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1365918.434998834</v>
      </c>
      <c r="N18" s="19" t="n">
        <v>1365918.434998834</v>
      </c>
      <c r="O18" s="24" t="n">
        <v>917000</v>
      </c>
      <c r="P18" s="24" t="n">
        <v>29839309.95998134</v>
      </c>
      <c r="Q18" s="7" t="inlineStr">
        <is>
          <t>—</t>
        </is>
      </c>
    </row>
    <row r="19">
      <c r="A19" s="14" t="n">
        <v>17</v>
      </c>
      <c r="B19" s="15" t="n">
        <v>58.77385658091406</v>
      </c>
      <c r="C19" s="16" t="n">
        <v>3.552713678800501e-14</v>
      </c>
      <c r="D19" s="15" t="n">
        <v>410.3919895606123</v>
      </c>
      <c r="E19" s="15" t="n">
        <v>26.40943618850336</v>
      </c>
      <c r="F19" s="17" t="n">
        <v>0.615384578704834</v>
      </c>
      <c r="G19" s="14" t="n">
        <v>0</v>
      </c>
      <c r="H19" s="14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1365918.434998834</v>
      </c>
      <c r="N19" s="19" t="n">
        <v>1365918.434998834</v>
      </c>
      <c r="O19" s="18" t="n">
        <v>917000</v>
      </c>
      <c r="P19" s="18" t="n">
        <v>31205228.39498017</v>
      </c>
      <c r="Q19" s="5" t="inlineStr">
        <is>
          <t>—</t>
        </is>
      </c>
    </row>
    <row r="20">
      <c r="A20" s="20" t="n">
        <v>18</v>
      </c>
      <c r="B20" s="21" t="n">
        <v>58.77385658091403</v>
      </c>
      <c r="C20" s="21" t="n">
        <v>-2.842170943040401e-14</v>
      </c>
      <c r="D20" s="21" t="n">
        <v>410.3919895606124</v>
      </c>
      <c r="E20" s="21" t="n">
        <v>26.40943618850334</v>
      </c>
      <c r="F20" s="23" t="n">
        <v>0.615384578704834</v>
      </c>
      <c r="G20" s="20" t="n">
        <v>0</v>
      </c>
      <c r="H20" s="20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1365918.434998834</v>
      </c>
      <c r="N20" s="19" t="n">
        <v>1365918.434998834</v>
      </c>
      <c r="O20" s="24" t="n">
        <v>917000</v>
      </c>
      <c r="P20" s="24" t="n">
        <v>32571146.829979</v>
      </c>
      <c r="Q20" s="7" t="inlineStr">
        <is>
          <t>—</t>
        </is>
      </c>
    </row>
    <row r="21">
      <c r="A21" s="14" t="n">
        <v>19</v>
      </c>
      <c r="B21" s="15" t="n">
        <v>60.27394696700306</v>
      </c>
      <c r="C21" s="16" t="n">
        <v>1.500090386089035</v>
      </c>
      <c r="D21" s="15" t="n">
        <v>408.270184434566</v>
      </c>
      <c r="E21" s="15" t="n">
        <v>26.90188698931551</v>
      </c>
      <c r="F21" s="17" t="n">
        <v>0.6795410513877869</v>
      </c>
      <c r="G21" s="14" t="n">
        <v>4</v>
      </c>
      <c r="H21" s="14" t="n">
        <v>223</v>
      </c>
      <c r="I21" s="18" t="n">
        <v>156100</v>
      </c>
      <c r="J21" s="18" t="n">
        <v>89200</v>
      </c>
      <c r="K21" s="18" t="n">
        <v>31220</v>
      </c>
      <c r="L21" s="18" t="n">
        <v>36795</v>
      </c>
      <c r="M21" s="18" t="n">
        <v>1365918.434998834</v>
      </c>
      <c r="N21" s="19" t="n">
        <v>1679233.434998834</v>
      </c>
      <c r="O21" s="18" t="n">
        <v>166730</v>
      </c>
      <c r="P21" s="18" t="n">
        <v>34250380.26497784</v>
      </c>
      <c r="Q21" s="5" t="inlineStr">
        <is>
          <t>AUTUMN PURPLE ASH; AUTUMN PURPLE ASH; AUTUMN PURPLE ASH; MUSKOGEE CRAPE MYRTLE</t>
        </is>
      </c>
    </row>
    <row r="22">
      <c r="A22" s="20" t="n">
        <v>20</v>
      </c>
      <c r="B22" s="21" t="n">
        <v>62.09672496759096</v>
      </c>
      <c r="C22" s="22" t="n">
        <v>1.822778000587896</v>
      </c>
      <c r="D22" s="21" t="n">
        <v>409.6218089447117</v>
      </c>
      <c r="E22" s="21" t="n">
        <v>27.5323783046577</v>
      </c>
      <c r="F22" s="23" t="n">
        <v>0.7434030175209045</v>
      </c>
      <c r="G22" s="20" t="n">
        <v>4</v>
      </c>
      <c r="H22" s="20" t="n">
        <v>22</v>
      </c>
      <c r="I22" s="24" t="n">
        <v>15400</v>
      </c>
      <c r="J22" s="24" t="n">
        <v>8800</v>
      </c>
      <c r="K22" s="24" t="n">
        <v>3080</v>
      </c>
      <c r="L22" s="24" t="n">
        <v>3630</v>
      </c>
      <c r="M22" s="24" t="n">
        <v>1365918.434998834</v>
      </c>
      <c r="N22" s="19" t="n">
        <v>1396828.434998834</v>
      </c>
      <c r="O22" s="24" t="n">
        <v>940</v>
      </c>
      <c r="P22" s="24" t="n">
        <v>35647208.69997667</v>
      </c>
      <c r="Q22" s="7" t="inlineStr">
        <is>
          <t>MUSKOGEE CRAPE MYRTLE; LONDON PLANE 'BLOODGOOD'; LONDON PLANE 'BLOODGOOD'; LONDON PLANE 'BLOODGOOD'</t>
        </is>
      </c>
    </row>
    <row r="23">
      <c r="A23" s="14" t="n">
        <v>21</v>
      </c>
      <c r="B23" s="15" t="n">
        <v>63.3886873667746</v>
      </c>
      <c r="C23" s="16" t="n">
        <v>1.291962399183639</v>
      </c>
      <c r="D23" s="15" t="n">
        <v>422.6334949278669</v>
      </c>
      <c r="E23" s="15" t="n">
        <v>27.21081892069323</v>
      </c>
      <c r="F23" s="17" t="n">
        <v>0.7823886871337891</v>
      </c>
      <c r="G23" s="14" t="n">
        <v>4</v>
      </c>
      <c r="H23" s="14" t="n">
        <v>1044</v>
      </c>
      <c r="I23" s="18" t="n">
        <v>730800</v>
      </c>
      <c r="J23" s="18" t="n">
        <v>417600</v>
      </c>
      <c r="K23" s="18" t="n">
        <v>146160</v>
      </c>
      <c r="L23" s="18" t="n">
        <v>172260</v>
      </c>
      <c r="M23" s="18" t="n">
        <v>1365918.434998834</v>
      </c>
      <c r="N23" s="19" t="n">
        <v>2832738.434998834</v>
      </c>
      <c r="O23" s="18" t="n">
        <v>295990</v>
      </c>
      <c r="P23" s="18" t="n">
        <v>38479947.1349755</v>
      </c>
      <c r="Q23" s="5" t="inlineStr">
        <is>
          <t>AMERICAN SWEET GUM; AMERICAN SWEET GUM; AMERICAN SWEET GUM; AMERICAN SWEET GUM</t>
        </is>
      </c>
    </row>
    <row r="24">
      <c r="A24" s="20" t="n">
        <v>22</v>
      </c>
      <c r="B24" s="21" t="n">
        <v>64.0242706098003</v>
      </c>
      <c r="C24" s="22" t="n">
        <v>0.6355832430256996</v>
      </c>
      <c r="D24" s="21" t="n">
        <v>430.070888663351</v>
      </c>
      <c r="E24" s="21" t="n">
        <v>26.72252899727364</v>
      </c>
      <c r="F24" s="23" t="n">
        <v>0.8464456796646118</v>
      </c>
      <c r="G24" s="20" t="n">
        <v>4</v>
      </c>
      <c r="H24" s="20" t="n">
        <v>318</v>
      </c>
      <c r="I24" s="24" t="n">
        <v>222600</v>
      </c>
      <c r="J24" s="24" t="n">
        <v>127200</v>
      </c>
      <c r="K24" s="24" t="n">
        <v>44520</v>
      </c>
      <c r="L24" s="24" t="n">
        <v>52470</v>
      </c>
      <c r="M24" s="24" t="n">
        <v>1365918.434998834</v>
      </c>
      <c r="N24" s="19" t="n">
        <v>1812708.434998834</v>
      </c>
      <c r="O24" s="24" t="n">
        <v>496905</v>
      </c>
      <c r="P24" s="24" t="n">
        <v>40292655.56997433</v>
      </c>
      <c r="Q24" s="7" t="inlineStr">
        <is>
          <t>BRISBANE BOX; BRISBANE BOX; CHANTICLEER FLOWERING PEAR; STONE FRUIT SPECIES</t>
        </is>
      </c>
    </row>
    <row r="25">
      <c r="A25" s="14" t="n">
        <v>23</v>
      </c>
      <c r="B25" s="15" t="n">
        <v>64.8833097396428</v>
      </c>
      <c r="C25" s="16" t="n">
        <v>0.8590391298425004</v>
      </c>
      <c r="D25" s="15" t="n">
        <v>445.5529245952173</v>
      </c>
      <c r="E25" s="15" t="n">
        <v>26.25356104041054</v>
      </c>
      <c r="F25" s="17" t="n">
        <v>0.9104477763175964</v>
      </c>
      <c r="G25" s="14" t="n">
        <v>4</v>
      </c>
      <c r="H25" s="14" t="n">
        <v>546</v>
      </c>
      <c r="I25" s="18" t="n">
        <v>382200</v>
      </c>
      <c r="J25" s="18" t="n">
        <v>218400</v>
      </c>
      <c r="K25" s="18" t="n">
        <v>76440</v>
      </c>
      <c r="L25" s="18" t="n">
        <v>90090</v>
      </c>
      <c r="M25" s="18" t="n">
        <v>1365918.434998834</v>
      </c>
      <c r="N25" s="19" t="n">
        <v>2133048.434998834</v>
      </c>
      <c r="O25" s="18" t="n">
        <v>381695</v>
      </c>
      <c r="P25" s="18" t="n">
        <v>42425704.00497317</v>
      </c>
      <c r="Q25" s="5" t="inlineStr">
        <is>
          <t>STONE FRUIT SPECIES; CHANTICLEER FLOWERING PEAR; CHANTICLEER FLOWERING PEAR; MARINA STRAWBERRY TREE</t>
        </is>
      </c>
    </row>
    <row r="26">
      <c r="A26" s="20" t="n">
        <v>24</v>
      </c>
      <c r="B26" s="21" t="n">
        <v>65.33258455003671</v>
      </c>
      <c r="C26" s="22" t="n">
        <v>0.4492748103939164</v>
      </c>
      <c r="D26" s="21" t="n">
        <v>453.1340526600354</v>
      </c>
      <c r="E26" s="21" t="n">
        <v>26.96425229276102</v>
      </c>
      <c r="F26" s="23" t="n">
        <v>0.9615384340286255</v>
      </c>
      <c r="G26" s="20" t="n">
        <v>4</v>
      </c>
      <c r="H26" s="20" t="n">
        <v>494</v>
      </c>
      <c r="I26" s="24" t="n">
        <v>345800</v>
      </c>
      <c r="J26" s="24" t="n">
        <v>197600</v>
      </c>
      <c r="K26" s="24" t="n">
        <v>69160</v>
      </c>
      <c r="L26" s="24" t="n">
        <v>81510</v>
      </c>
      <c r="M26" s="24" t="n">
        <v>1365918.434998834</v>
      </c>
      <c r="N26" s="19" t="n">
        <v>2059988.434998834</v>
      </c>
      <c r="O26" s="24" t="n">
        <v>638810</v>
      </c>
      <c r="P26" s="24" t="n">
        <v>44485692.439972</v>
      </c>
      <c r="Q26" s="7" t="inlineStr">
        <is>
          <t>ORNAMENTAL PEAR; ORNAMENTAL PEAR; ORNAMENTAL PEAR; MARINA STRAWBERRY TREE</t>
        </is>
      </c>
    </row>
    <row r="27">
      <c r="A27" s="14" t="n">
        <v>25</v>
      </c>
      <c r="B27" s="15" t="n">
        <v>65.3325845500367</v>
      </c>
      <c r="C27" s="15" t="n">
        <v>-1.4210854715202e-14</v>
      </c>
      <c r="D27" s="15" t="n">
        <v>453.1340526600354</v>
      </c>
      <c r="E27" s="15" t="n">
        <v>26.96425229276103</v>
      </c>
      <c r="F27" s="17" t="n">
        <v>0.9615384340286255</v>
      </c>
      <c r="G27" s="14" t="n">
        <v>0</v>
      </c>
      <c r="H27" s="14" t="n">
        <v>1321</v>
      </c>
      <c r="I27" s="18" t="n">
        <v>924700</v>
      </c>
      <c r="J27" s="18" t="n">
        <v>528400</v>
      </c>
      <c r="K27" s="18" t="n">
        <v>184940</v>
      </c>
      <c r="L27" s="18" t="n">
        <v>217965</v>
      </c>
      <c r="M27" s="18" t="n">
        <v>1365918.434998834</v>
      </c>
      <c r="N27" s="19" t="n">
        <v>3221923.434998834</v>
      </c>
      <c r="O27" s="18" t="n">
        <v>917000</v>
      </c>
      <c r="P27" s="18" t="n">
        <v>47707615.87497083</v>
      </c>
      <c r="Q27" s="5" t="inlineStr">
        <is>
          <t>—</t>
        </is>
      </c>
    </row>
    <row r="28">
      <c r="A28" s="25" t="inlineStr">
        <is>
          <t>TOTAL</t>
        </is>
      </c>
      <c r="B28" s="26" t="inlineStr"/>
      <c r="C28" s="26" t="inlineStr"/>
      <c r="D28" s="26" t="inlineStr"/>
      <c r="E28" s="26" t="inlineStr"/>
      <c r="F28" s="27" t="inlineStr"/>
      <c r="G28" s="25" t="n">
        <v>77</v>
      </c>
      <c r="H28" s="25" t="n">
        <v>9651</v>
      </c>
      <c r="I28" s="28" t="n">
        <v>6755700</v>
      </c>
      <c r="J28" s="28" t="n">
        <v>3860400</v>
      </c>
      <c r="K28" s="28" t="n">
        <v>1351140</v>
      </c>
      <c r="L28" s="28" t="n">
        <v>1592415</v>
      </c>
      <c r="M28" s="28" t="n">
        <v>34147960.87497085</v>
      </c>
      <c r="N28" s="28" t="n">
        <v>47707615.87497085</v>
      </c>
      <c r="O28" s="28" t="inlineStr"/>
      <c r="P28" s="28" t="n">
        <v>47707615.87497085</v>
      </c>
      <c r="Q28" s="29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24" customWidth="1" min="3" max="3"/>
    <col width="24" customWidth="1" min="4" max="4"/>
    <col width="15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14" customWidth="1" min="11" max="11"/>
    <col width="17" customWidth="1" min="12" max="12"/>
    <col width="18" customWidth="1" min="13" max="13"/>
    <col width="21" customWidth="1" min="14" max="14"/>
    <col width="15" customWidth="1" min="15" max="15"/>
  </cols>
  <sheetData>
    <row r="1" ht="18" customHeight="1">
      <c r="A1" s="3" t="inlineStr">
        <is>
          <t xml:space="preserve">  Cupertino  ·  Species-Level Swap Schedule</t>
        </is>
      </c>
    </row>
    <row r="2" ht="22" customHeight="1">
      <c r="A2" s="13" t="inlineStr">
        <is>
          <t>Source Species
(Remove)</t>
        </is>
      </c>
      <c r="B2" s="13" t="inlineStr">
        <is>
          <t>Priority
Tier</t>
        </is>
      </c>
      <c r="C2" s="13" t="inlineStr">
        <is>
          <t>Total Trees
To Replace</t>
        </is>
      </c>
      <c r="D2" s="13" t="inlineStr">
        <is>
          <t>Target Species
(Plant)</t>
        </is>
      </c>
      <c r="E2" s="13" t="inlineStr">
        <is>
          <t>Trees
Planted</t>
        </is>
      </c>
      <c r="F2" s="13" t="inlineStr">
        <is>
          <t>Yr Start</t>
        </is>
      </c>
      <c r="G2" s="13" t="inlineStr">
        <is>
          <t>Yr End</t>
        </is>
      </c>
      <c r="H2" s="13" t="inlineStr">
        <is>
          <t>Removal ($)</t>
        </is>
      </c>
      <c r="I2" s="13" t="inlineStr">
        <is>
          <t>Planting ($)</t>
        </is>
      </c>
      <c r="J2" s="13" t="inlineStr">
        <is>
          <t>Watering ($)</t>
        </is>
      </c>
      <c r="K2" s="13" t="inlineStr">
        <is>
          <t>Overhead ($)</t>
        </is>
      </c>
      <c r="L2" s="13" t="inlineStr">
        <is>
          <t>TOTAL Batch ($)</t>
        </is>
      </c>
      <c r="M2" s="13" t="inlineStr">
        <is>
          <t>STARS Gain
/tree</t>
        </is>
      </c>
      <c r="N2" s="13" t="inlineStr">
        <is>
          <t>CO₂ Gain
(lbs/tree)</t>
        </is>
      </c>
      <c r="O2" s="13" t="inlineStr">
        <is>
          <t>Urgency
Score</t>
        </is>
      </c>
    </row>
    <row r="3">
      <c r="A3" s="5" t="inlineStr">
        <is>
          <t>AMERICAN SWEET GUM</t>
        </is>
      </c>
      <c r="B3" s="30" t="inlineStr">
        <is>
          <t>Priority 5</t>
        </is>
      </c>
      <c r="C3" s="14" t="n">
        <v>618</v>
      </c>
      <c r="D3" s="5" t="inlineStr">
        <is>
          <t>CATALINA IRONWOOD</t>
        </is>
      </c>
      <c r="E3" s="14" t="n">
        <v>619</v>
      </c>
      <c r="F3" s="14" t="n">
        <v>24</v>
      </c>
      <c r="G3" s="14" t="n">
        <v>25</v>
      </c>
      <c r="H3" s="18" t="n">
        <v>433300</v>
      </c>
      <c r="I3" s="18" t="n">
        <v>247600</v>
      </c>
      <c r="J3" s="18" t="n">
        <v>86660</v>
      </c>
      <c r="K3" s="18" t="n">
        <v>102135</v>
      </c>
      <c r="L3" s="18" t="n">
        <v>869695</v>
      </c>
      <c r="M3" s="15" t="n">
        <v>24.2</v>
      </c>
      <c r="N3" s="15" t="n">
        <v>468.6</v>
      </c>
      <c r="O3" s="15" t="n">
        <v>0.83</v>
      </c>
    </row>
    <row r="4">
      <c r="A4" s="7" t="inlineStr">
        <is>
          <t>ARISTOCRAT FLOWERING PEAR</t>
        </is>
      </c>
      <c r="B4" s="30" t="inlineStr">
        <is>
          <t>Priority 5</t>
        </is>
      </c>
      <c r="C4" s="20" t="n">
        <v>227</v>
      </c>
      <c r="D4" s="7" t="inlineStr">
        <is>
          <t>HOLLY OAK</t>
        </is>
      </c>
      <c r="E4" s="20" t="n">
        <v>227</v>
      </c>
      <c r="F4" s="20" t="n">
        <v>15</v>
      </c>
      <c r="G4" s="20" t="n">
        <v>19</v>
      </c>
      <c r="H4" s="24" t="n">
        <v>158900</v>
      </c>
      <c r="I4" s="24" t="n">
        <v>90800</v>
      </c>
      <c r="J4" s="24" t="n">
        <v>31780</v>
      </c>
      <c r="K4" s="24" t="n">
        <v>37455</v>
      </c>
      <c r="L4" s="24" t="n">
        <v>318935</v>
      </c>
      <c r="M4" s="21" t="n">
        <v>23.5</v>
      </c>
      <c r="N4" s="21" t="n">
        <v>304</v>
      </c>
      <c r="O4" s="21" t="n">
        <v>0.82</v>
      </c>
    </row>
    <row r="5">
      <c r="A5" s="5" t="inlineStr">
        <is>
          <t>AUTUMN PURPLE ASH</t>
        </is>
      </c>
      <c r="B5" s="31" t="inlineStr">
        <is>
          <t>Priority 4</t>
        </is>
      </c>
      <c r="C5" s="14" t="n">
        <v>216</v>
      </c>
      <c r="D5" s="5" t="inlineStr">
        <is>
          <t>DESERT WILLOW</t>
        </is>
      </c>
      <c r="E5" s="14" t="n">
        <v>216</v>
      </c>
      <c r="F5" s="14" t="n">
        <v>22</v>
      </c>
      <c r="G5" s="14" t="n">
        <v>23</v>
      </c>
      <c r="H5" s="18" t="n">
        <v>151200</v>
      </c>
      <c r="I5" s="18" t="n">
        <v>86400</v>
      </c>
      <c r="J5" s="18" t="n">
        <v>30240</v>
      </c>
      <c r="K5" s="18" t="n">
        <v>35640</v>
      </c>
      <c r="L5" s="18" t="n">
        <v>303480</v>
      </c>
      <c r="M5" s="15" t="n">
        <v>21.5</v>
      </c>
      <c r="N5" s="15" t="n">
        <v>349.1</v>
      </c>
      <c r="O5" s="15" t="n">
        <v>0.68</v>
      </c>
    </row>
    <row r="6">
      <c r="A6" s="7" t="inlineStr">
        <is>
          <t>BRISBANE BOX</t>
        </is>
      </c>
      <c r="B6" s="31" t="inlineStr">
        <is>
          <t>Priority 4</t>
        </is>
      </c>
      <c r="C6" s="20" t="n">
        <v>76</v>
      </c>
      <c r="D6" s="7" t="inlineStr">
        <is>
          <t>HOLLY OAK</t>
        </is>
      </c>
      <c r="E6" s="20" t="n">
        <v>76</v>
      </c>
      <c r="F6" s="20" t="n">
        <v>25</v>
      </c>
      <c r="G6" s="20" t="n">
        <v>25</v>
      </c>
      <c r="H6" s="24" t="n">
        <v>53200</v>
      </c>
      <c r="I6" s="24" t="n">
        <v>30400</v>
      </c>
      <c r="J6" s="24" t="n">
        <v>10640</v>
      </c>
      <c r="K6" s="24" t="n">
        <v>12540</v>
      </c>
      <c r="L6" s="24" t="n">
        <v>106780</v>
      </c>
      <c r="M6" s="21" t="n">
        <v>12</v>
      </c>
      <c r="N6" s="21" t="n">
        <v>220</v>
      </c>
      <c r="O6" s="21" t="n">
        <v>0.66</v>
      </c>
    </row>
    <row r="7">
      <c r="A7" s="5" t="inlineStr">
        <is>
          <t>CALIFORNIA BLACK OAK</t>
        </is>
      </c>
      <c r="B7" s="31" t="inlineStr">
        <is>
          <t>Priority 4</t>
        </is>
      </c>
      <c r="C7" s="14" t="n">
        <v>1</v>
      </c>
      <c r="D7" s="5" t="inlineStr">
        <is>
          <t>INTERIOR LIVE OAK</t>
        </is>
      </c>
      <c r="E7" s="14" t="n">
        <v>1</v>
      </c>
      <c r="F7" s="14" t="n">
        <v>25</v>
      </c>
      <c r="G7" s="14" t="n">
        <v>25</v>
      </c>
      <c r="H7" s="18" t="n">
        <v>700</v>
      </c>
      <c r="I7" s="18" t="n">
        <v>400</v>
      </c>
      <c r="J7" s="18" t="n">
        <v>140</v>
      </c>
      <c r="K7" s="18" t="n">
        <v>165</v>
      </c>
      <c r="L7" s="18" t="n">
        <v>1405</v>
      </c>
      <c r="M7" s="15" t="n">
        <v>8.9</v>
      </c>
      <c r="N7" s="15" t="n">
        <v>495.2</v>
      </c>
      <c r="O7" s="15" t="n">
        <v>0.8</v>
      </c>
    </row>
    <row r="8">
      <c r="A8" s="7" t="inlineStr">
        <is>
          <t>CALIFORNIA SYCAMORE</t>
        </is>
      </c>
      <c r="B8" s="31" t="inlineStr">
        <is>
          <t>Priority 4</t>
        </is>
      </c>
      <c r="C8" s="20" t="n">
        <v>3</v>
      </c>
      <c r="D8" s="7" t="inlineStr">
        <is>
          <t>CALIFORNIA BUCKEYE</t>
        </is>
      </c>
      <c r="E8" s="20" t="n">
        <v>3</v>
      </c>
      <c r="F8" s="20" t="n">
        <v>1</v>
      </c>
      <c r="G8" s="20" t="n">
        <v>1</v>
      </c>
      <c r="H8" s="24" t="n">
        <v>2100</v>
      </c>
      <c r="I8" s="24" t="n">
        <v>1200</v>
      </c>
      <c r="J8" s="24" t="n">
        <v>420</v>
      </c>
      <c r="K8" s="24" t="n">
        <v>495</v>
      </c>
      <c r="L8" s="24" t="n">
        <v>4215</v>
      </c>
      <c r="M8" s="21" t="n">
        <v>18.7</v>
      </c>
      <c r="N8" s="21" t="n">
        <v>476.5</v>
      </c>
      <c r="O8" s="21" t="n">
        <v>0.8</v>
      </c>
    </row>
    <row r="9">
      <c r="A9" s="5" t="inlineStr">
        <is>
          <t>CAMPHOR TREE</t>
        </is>
      </c>
      <c r="B9" s="31" t="inlineStr">
        <is>
          <t>Priority 4</t>
        </is>
      </c>
      <c r="C9" s="14" t="n">
        <v>430</v>
      </c>
      <c r="D9" s="5" t="inlineStr">
        <is>
          <t>INTERIOR LIVE OAK</t>
        </is>
      </c>
      <c r="E9" s="14" t="n">
        <v>431</v>
      </c>
      <c r="F9" s="14" t="n">
        <v>4</v>
      </c>
      <c r="G9" s="14" t="n">
        <v>5</v>
      </c>
      <c r="H9" s="18" t="n">
        <v>301700</v>
      </c>
      <c r="I9" s="18" t="n">
        <v>172400</v>
      </c>
      <c r="J9" s="18" t="n">
        <v>60340</v>
      </c>
      <c r="K9" s="18" t="n">
        <v>71115</v>
      </c>
      <c r="L9" s="18" t="n">
        <v>605555</v>
      </c>
      <c r="M9" s="15" t="n">
        <v>18</v>
      </c>
      <c r="N9" s="15" t="n">
        <v>766.1</v>
      </c>
      <c r="O9" s="15" t="n">
        <v>0.76</v>
      </c>
    </row>
    <row r="10">
      <c r="A10" s="7" t="inlineStr">
        <is>
          <t>CHANTICLEER FLOWERING PEAR</t>
        </is>
      </c>
      <c r="B10" s="31" t="inlineStr">
        <is>
          <t>Priority 4</t>
        </is>
      </c>
      <c r="C10" s="20" t="n">
        <v>338</v>
      </c>
      <c r="D10" s="7" t="inlineStr">
        <is>
          <t>HOLLY OAK</t>
        </is>
      </c>
      <c r="E10" s="20" t="n">
        <v>338</v>
      </c>
      <c r="F10" s="20" t="n">
        <v>25</v>
      </c>
      <c r="G10" s="20" t="n">
        <v>25</v>
      </c>
      <c r="H10" s="24" t="n">
        <v>236600</v>
      </c>
      <c r="I10" s="24" t="n">
        <v>135200</v>
      </c>
      <c r="J10" s="24" t="n">
        <v>47320</v>
      </c>
      <c r="K10" s="24" t="n">
        <v>55770</v>
      </c>
      <c r="L10" s="24" t="n">
        <v>474890</v>
      </c>
      <c r="M10" s="21" t="n">
        <v>11.8</v>
      </c>
      <c r="N10" s="21" t="n">
        <v>704</v>
      </c>
      <c r="O10" s="21" t="n">
        <v>0.75</v>
      </c>
    </row>
    <row r="11">
      <c r="A11" s="5" t="inlineStr">
        <is>
          <t>CHINESE PISTACHE</t>
        </is>
      </c>
      <c r="B11" s="31" t="inlineStr">
        <is>
          <t>Priority 4</t>
        </is>
      </c>
      <c r="C11" s="14" t="n">
        <v>1214</v>
      </c>
      <c r="D11" s="5" t="inlineStr">
        <is>
          <t>INTERIOR LIVE OAK</t>
        </is>
      </c>
      <c r="E11" s="14" t="n">
        <v>1215</v>
      </c>
      <c r="F11" s="14" t="n">
        <v>21</v>
      </c>
      <c r="G11" s="14" t="n">
        <v>22</v>
      </c>
      <c r="H11" s="18" t="n">
        <v>850500</v>
      </c>
      <c r="I11" s="18" t="n">
        <v>486000</v>
      </c>
      <c r="J11" s="18" t="n">
        <v>170100</v>
      </c>
      <c r="K11" s="18" t="n">
        <v>200475</v>
      </c>
      <c r="L11" s="18" t="n">
        <v>1707075</v>
      </c>
      <c r="M11" s="15" t="n">
        <v>11.4</v>
      </c>
      <c r="N11" s="15" t="n">
        <v>353.1</v>
      </c>
      <c r="O11" s="15" t="n">
        <v>0.6899999999999999</v>
      </c>
    </row>
    <row r="12">
      <c r="A12" s="7" t="inlineStr">
        <is>
          <t>COAST LIVE OAK</t>
        </is>
      </c>
      <c r="B12" s="32" t="inlineStr">
        <is>
          <t>Priority 2</t>
        </is>
      </c>
      <c r="C12" s="20" t="n">
        <v>992</v>
      </c>
      <c r="D12" s="7" t="inlineStr">
        <is>
          <t>TEXAS EBONY</t>
        </is>
      </c>
      <c r="E12" s="20" t="n">
        <v>992</v>
      </c>
      <c r="F12" s="20" t="n">
        <v>7</v>
      </c>
      <c r="G12" s="20" t="n">
        <v>8</v>
      </c>
      <c r="H12" s="24" t="n">
        <v>694400</v>
      </c>
      <c r="I12" s="24" t="n">
        <v>396800</v>
      </c>
      <c r="J12" s="24" t="n">
        <v>138880</v>
      </c>
      <c r="K12" s="24" t="n">
        <v>163680</v>
      </c>
      <c r="L12" s="24" t="n">
        <v>1393760</v>
      </c>
      <c r="M12" s="21" t="n">
        <v>0</v>
      </c>
      <c r="N12" s="21" t="n">
        <v>86.90000000000001</v>
      </c>
      <c r="O12" s="21" t="n">
        <v>0.3</v>
      </c>
    </row>
    <row r="13">
      <c r="A13" s="5" t="inlineStr">
        <is>
          <t>COAST REDWOOD</t>
        </is>
      </c>
      <c r="B13" s="30" t="inlineStr">
        <is>
          <t>Priority 5</t>
        </is>
      </c>
      <c r="C13" s="14" t="n">
        <v>903</v>
      </c>
      <c r="D13" s="5" t="inlineStr">
        <is>
          <t>CALIFORNIA BUCKEYE</t>
        </is>
      </c>
      <c r="E13" s="14" t="n">
        <v>903</v>
      </c>
      <c r="F13" s="14" t="n">
        <v>11</v>
      </c>
      <c r="G13" s="14" t="n">
        <v>12</v>
      </c>
      <c r="H13" s="18" t="n">
        <v>632100</v>
      </c>
      <c r="I13" s="18" t="n">
        <v>361200</v>
      </c>
      <c r="J13" s="18" t="n">
        <v>126420</v>
      </c>
      <c r="K13" s="18" t="n">
        <v>148995</v>
      </c>
      <c r="L13" s="18" t="n">
        <v>1268715</v>
      </c>
      <c r="M13" s="15" t="n">
        <v>31</v>
      </c>
      <c r="N13" s="15" t="n">
        <v>350.4</v>
      </c>
      <c r="O13" s="15" t="n">
        <v>0.83</v>
      </c>
    </row>
    <row r="14">
      <c r="A14" s="7" t="inlineStr">
        <is>
          <t>CORK OAK</t>
        </is>
      </c>
      <c r="B14" s="31" t="inlineStr">
        <is>
          <t>Priority 4</t>
        </is>
      </c>
      <c r="C14" s="20" t="n">
        <v>21</v>
      </c>
      <c r="D14" s="7" t="inlineStr">
        <is>
          <t>HOLLY OAK</t>
        </is>
      </c>
      <c r="E14" s="20" t="n">
        <v>22</v>
      </c>
      <c r="F14" s="20" t="n">
        <v>20</v>
      </c>
      <c r="G14" s="20" t="n">
        <v>21</v>
      </c>
      <c r="H14" s="24" t="n">
        <v>15400</v>
      </c>
      <c r="I14" s="24" t="n">
        <v>8800</v>
      </c>
      <c r="J14" s="24" t="n">
        <v>3080</v>
      </c>
      <c r="K14" s="24" t="n">
        <v>3630</v>
      </c>
      <c r="L14" s="24" t="n">
        <v>30910</v>
      </c>
      <c r="M14" s="21" t="n">
        <v>15.7</v>
      </c>
      <c r="N14" s="21" t="n">
        <v>400</v>
      </c>
      <c r="O14" s="21" t="n">
        <v>0.68</v>
      </c>
    </row>
    <row r="15">
      <c r="A15" s="5" t="inlineStr">
        <is>
          <t>LONDON PLANE 'BLOODGOOD'</t>
        </is>
      </c>
      <c r="B15" s="31" t="inlineStr">
        <is>
          <t>Priority 4</t>
        </is>
      </c>
      <c r="C15" s="14" t="n">
        <v>291</v>
      </c>
      <c r="D15" s="5" t="inlineStr">
        <is>
          <t>DESERT WILLOW</t>
        </is>
      </c>
      <c r="E15" s="14" t="n">
        <v>291</v>
      </c>
      <c r="F15" s="14" t="n">
        <v>24</v>
      </c>
      <c r="G15" s="14" t="n">
        <v>24</v>
      </c>
      <c r="H15" s="18" t="n">
        <v>203700</v>
      </c>
      <c r="I15" s="18" t="n">
        <v>116400</v>
      </c>
      <c r="J15" s="18" t="n">
        <v>40740</v>
      </c>
      <c r="K15" s="18" t="n">
        <v>48015</v>
      </c>
      <c r="L15" s="18" t="n">
        <v>408855</v>
      </c>
      <c r="M15" s="15" t="n">
        <v>17.6</v>
      </c>
      <c r="N15" s="15" t="n">
        <v>380</v>
      </c>
      <c r="O15" s="15" t="n">
        <v>0.78</v>
      </c>
    </row>
    <row r="16">
      <c r="A16" s="7" t="inlineStr">
        <is>
          <t>MAIDENHAIR TREE</t>
        </is>
      </c>
      <c r="B16" s="31" t="inlineStr">
        <is>
          <t>Priority 4</t>
        </is>
      </c>
      <c r="C16" s="20" t="n">
        <v>373</v>
      </c>
      <c r="D16" s="7" t="inlineStr">
        <is>
          <t>VALLEY OAK</t>
        </is>
      </c>
      <c r="E16" s="20" t="n">
        <v>373</v>
      </c>
      <c r="F16" s="20" t="n">
        <v>9</v>
      </c>
      <c r="G16" s="20" t="n">
        <v>10</v>
      </c>
      <c r="H16" s="24" t="n">
        <v>261100</v>
      </c>
      <c r="I16" s="24" t="n">
        <v>149200</v>
      </c>
      <c r="J16" s="24" t="n">
        <v>52220</v>
      </c>
      <c r="K16" s="24" t="n">
        <v>61545</v>
      </c>
      <c r="L16" s="24" t="n">
        <v>524065</v>
      </c>
      <c r="M16" s="21" t="n">
        <v>21.3</v>
      </c>
      <c r="N16" s="21" t="n">
        <v>548.9</v>
      </c>
      <c r="O16" s="21" t="n">
        <v>0.71</v>
      </c>
    </row>
    <row r="17">
      <c r="A17" s="5" t="inlineStr">
        <is>
          <t>MARINA STRAWBERRY TREE</t>
        </is>
      </c>
      <c r="B17" s="31" t="inlineStr">
        <is>
          <t>Priority 4</t>
        </is>
      </c>
      <c r="C17" s="14" t="n">
        <v>134</v>
      </c>
      <c r="D17" s="5" t="inlineStr">
        <is>
          <t>COAST LIVE OAK</t>
        </is>
      </c>
      <c r="E17" s="14" t="n">
        <v>134</v>
      </c>
      <c r="F17" s="14" t="n">
        <v>25</v>
      </c>
      <c r="G17" s="14" t="n">
        <v>25</v>
      </c>
      <c r="H17" s="18" t="n">
        <v>93800</v>
      </c>
      <c r="I17" s="18" t="n">
        <v>53600</v>
      </c>
      <c r="J17" s="18" t="n">
        <v>18760</v>
      </c>
      <c r="K17" s="18" t="n">
        <v>22110</v>
      </c>
      <c r="L17" s="18" t="n">
        <v>188270</v>
      </c>
      <c r="M17" s="15" t="n">
        <v>12.8</v>
      </c>
      <c r="N17" s="15" t="n">
        <v>580</v>
      </c>
      <c r="O17" s="15" t="n">
        <v>0.74</v>
      </c>
    </row>
    <row r="18">
      <c r="A18" s="7" t="inlineStr">
        <is>
          <t>MODESTO ASH</t>
        </is>
      </c>
      <c r="B18" s="31" t="inlineStr">
        <is>
          <t>Priority 4</t>
        </is>
      </c>
      <c r="C18" s="20" t="n">
        <v>387</v>
      </c>
      <c r="D18" s="7" t="inlineStr">
        <is>
          <t>DESERT WILLOW</t>
        </is>
      </c>
      <c r="E18" s="20" t="n">
        <v>387</v>
      </c>
      <c r="F18" s="20" t="n">
        <v>3</v>
      </c>
      <c r="G18" s="20" t="n">
        <v>4</v>
      </c>
      <c r="H18" s="24" t="n">
        <v>270900</v>
      </c>
      <c r="I18" s="24" t="n">
        <v>154800</v>
      </c>
      <c r="J18" s="24" t="n">
        <v>54180</v>
      </c>
      <c r="K18" s="24" t="n">
        <v>63855</v>
      </c>
      <c r="L18" s="24" t="n">
        <v>543735</v>
      </c>
      <c r="M18" s="21" t="n">
        <v>15.7</v>
      </c>
      <c r="N18" s="21" t="n">
        <v>487.1</v>
      </c>
      <c r="O18" s="21" t="n">
        <v>0.72</v>
      </c>
    </row>
    <row r="19">
      <c r="A19" s="5" t="inlineStr">
        <is>
          <t>MUSKOGEE CRAPE MYRTLE</t>
        </is>
      </c>
      <c r="B19" s="31" t="inlineStr">
        <is>
          <t>Priority 4</t>
        </is>
      </c>
      <c r="C19" s="14" t="n">
        <v>476</v>
      </c>
      <c r="D19" s="5" t="inlineStr">
        <is>
          <t>VALLEY OAK</t>
        </is>
      </c>
      <c r="E19" s="14" t="n">
        <v>476</v>
      </c>
      <c r="F19" s="14" t="n">
        <v>23</v>
      </c>
      <c r="G19" s="14" t="n">
        <v>23</v>
      </c>
      <c r="H19" s="18" t="n">
        <v>333200</v>
      </c>
      <c r="I19" s="18" t="n">
        <v>190400</v>
      </c>
      <c r="J19" s="18" t="n">
        <v>66640</v>
      </c>
      <c r="K19" s="18" t="n">
        <v>78540</v>
      </c>
      <c r="L19" s="18" t="n">
        <v>668780</v>
      </c>
      <c r="M19" s="15" t="n">
        <v>21</v>
      </c>
      <c r="N19" s="15" t="n">
        <v>655.8</v>
      </c>
      <c r="O19" s="15" t="n">
        <v>0.79</v>
      </c>
    </row>
    <row r="20">
      <c r="A20" s="7" t="inlineStr">
        <is>
          <t>ORNAMENTAL PEAR</t>
        </is>
      </c>
      <c r="B20" s="31" t="inlineStr">
        <is>
          <t>Priority 4</t>
        </is>
      </c>
      <c r="C20" s="20" t="n">
        <v>154</v>
      </c>
      <c r="D20" s="7" t="inlineStr">
        <is>
          <t>COAST LIVE OAK</t>
        </is>
      </c>
      <c r="E20" s="20" t="n">
        <v>154</v>
      </c>
      <c r="F20" s="20" t="n">
        <v>25</v>
      </c>
      <c r="G20" s="20" t="n">
        <v>25</v>
      </c>
      <c r="H20" s="24" t="n">
        <v>107800</v>
      </c>
      <c r="I20" s="24" t="n">
        <v>61600</v>
      </c>
      <c r="J20" s="24" t="n">
        <v>21560</v>
      </c>
      <c r="K20" s="24" t="n">
        <v>25410</v>
      </c>
      <c r="L20" s="24" t="n">
        <v>216370</v>
      </c>
      <c r="M20" s="21" t="n">
        <v>16.3</v>
      </c>
      <c r="N20" s="21" t="n">
        <v>580</v>
      </c>
      <c r="O20" s="21" t="n">
        <v>0.82</v>
      </c>
    </row>
    <row r="21">
      <c r="A21" s="5" t="inlineStr">
        <is>
          <t>PURPLE-LEAFED PLUM</t>
        </is>
      </c>
      <c r="B21" s="31" t="inlineStr">
        <is>
          <t>Priority 4</t>
        </is>
      </c>
      <c r="C21" s="14" t="n">
        <v>223</v>
      </c>
      <c r="D21" s="5" t="inlineStr">
        <is>
          <t>COAST LIVE OAK</t>
        </is>
      </c>
      <c r="E21" s="14" t="n">
        <v>223</v>
      </c>
      <c r="F21" s="14" t="n">
        <v>19</v>
      </c>
      <c r="G21" s="14" t="n">
        <v>20</v>
      </c>
      <c r="H21" s="18" t="n">
        <v>156100</v>
      </c>
      <c r="I21" s="18" t="n">
        <v>89200</v>
      </c>
      <c r="J21" s="18" t="n">
        <v>31220</v>
      </c>
      <c r="K21" s="18" t="n">
        <v>36795</v>
      </c>
      <c r="L21" s="18" t="n">
        <v>313315</v>
      </c>
      <c r="M21" s="15" t="n">
        <v>19.6</v>
      </c>
      <c r="N21" s="15" t="n">
        <v>704.1</v>
      </c>
      <c r="O21" s="15" t="n">
        <v>0.77</v>
      </c>
    </row>
    <row r="22">
      <c r="A22" s="7" t="inlineStr">
        <is>
          <t>RAYWOOD ASH</t>
        </is>
      </c>
      <c r="B22" s="31" t="inlineStr">
        <is>
          <t>Priority 4</t>
        </is>
      </c>
      <c r="C22" s="20" t="n">
        <v>294</v>
      </c>
      <c r="D22" s="7" t="inlineStr">
        <is>
          <t>COAST LIVE OAK</t>
        </is>
      </c>
      <c r="E22" s="20" t="n">
        <v>295</v>
      </c>
      <c r="F22" s="20" t="n">
        <v>10</v>
      </c>
      <c r="G22" s="20" t="n">
        <v>11</v>
      </c>
      <c r="H22" s="24" t="n">
        <v>206500</v>
      </c>
      <c r="I22" s="24" t="n">
        <v>118000</v>
      </c>
      <c r="J22" s="24" t="n">
        <v>41300</v>
      </c>
      <c r="K22" s="24" t="n">
        <v>48675</v>
      </c>
      <c r="L22" s="24" t="n">
        <v>414475</v>
      </c>
      <c r="M22" s="21" t="n">
        <v>19.2</v>
      </c>
      <c r="N22" s="21" t="n">
        <v>483.9</v>
      </c>
      <c r="O22" s="21" t="n">
        <v>0.71</v>
      </c>
    </row>
    <row r="23">
      <c r="A23" s="5" t="inlineStr">
        <is>
          <t>RED MAPLE 'OCTOBER GLORY'</t>
        </is>
      </c>
      <c r="B23" s="30" t="inlineStr">
        <is>
          <t>Priority 5</t>
        </is>
      </c>
      <c r="C23" s="14" t="n">
        <v>334</v>
      </c>
      <c r="D23" s="5" t="inlineStr">
        <is>
          <t>NETLEAF HACKBERRY</t>
        </is>
      </c>
      <c r="E23" s="14" t="n">
        <v>334</v>
      </c>
      <c r="F23" s="14" t="n">
        <v>2</v>
      </c>
      <c r="G23" s="14" t="n">
        <v>3</v>
      </c>
      <c r="H23" s="18" t="n">
        <v>233800</v>
      </c>
      <c r="I23" s="18" t="n">
        <v>133600</v>
      </c>
      <c r="J23" s="18" t="n">
        <v>46760</v>
      </c>
      <c r="K23" s="18" t="n">
        <v>55110</v>
      </c>
      <c r="L23" s="18" t="n">
        <v>469270</v>
      </c>
      <c r="M23" s="15" t="n">
        <v>24.8</v>
      </c>
      <c r="N23" s="15" t="n">
        <v>0</v>
      </c>
      <c r="O23" s="15" t="n">
        <v>0.76</v>
      </c>
    </row>
    <row r="24">
      <c r="A24" s="7" t="inlineStr">
        <is>
          <t>SHAMEL ASH</t>
        </is>
      </c>
      <c r="B24" s="31" t="inlineStr">
        <is>
          <t>Priority 4</t>
        </is>
      </c>
      <c r="C24" s="20" t="n">
        <v>294</v>
      </c>
      <c r="D24" s="7" t="inlineStr">
        <is>
          <t>NETLEAF HACKBERRY</t>
        </is>
      </c>
      <c r="E24" s="20" t="n">
        <v>295</v>
      </c>
      <c r="F24" s="20" t="n">
        <v>14</v>
      </c>
      <c r="G24" s="20" t="n">
        <v>14</v>
      </c>
      <c r="H24" s="24" t="n">
        <v>206500</v>
      </c>
      <c r="I24" s="24" t="n">
        <v>118000</v>
      </c>
      <c r="J24" s="24" t="n">
        <v>41300</v>
      </c>
      <c r="K24" s="24" t="n">
        <v>48675</v>
      </c>
      <c r="L24" s="24" t="n">
        <v>414475</v>
      </c>
      <c r="M24" s="21" t="n">
        <v>16.4</v>
      </c>
      <c r="N24" s="21" t="n">
        <v>470.5</v>
      </c>
      <c r="O24" s="21" t="n">
        <v>0.71</v>
      </c>
    </row>
    <row r="25">
      <c r="A25" s="5" t="inlineStr">
        <is>
          <t>SOUTHERN MAGNOLIA</t>
        </is>
      </c>
      <c r="B25" s="31" t="inlineStr">
        <is>
          <t>Priority 4</t>
        </is>
      </c>
      <c r="C25" s="14" t="n">
        <v>421</v>
      </c>
      <c r="D25" s="5" t="inlineStr">
        <is>
          <t>NETLEAF HACKBERRY</t>
        </is>
      </c>
      <c r="E25" s="14" t="n">
        <v>422</v>
      </c>
      <c r="F25" s="14" t="n">
        <v>12</v>
      </c>
      <c r="G25" s="14" t="n">
        <v>13</v>
      </c>
      <c r="H25" s="18" t="n">
        <v>295400</v>
      </c>
      <c r="I25" s="18" t="n">
        <v>168800</v>
      </c>
      <c r="J25" s="18" t="n">
        <v>59080</v>
      </c>
      <c r="K25" s="18" t="n">
        <v>69630</v>
      </c>
      <c r="L25" s="18" t="n">
        <v>592910</v>
      </c>
      <c r="M25" s="15" t="n">
        <v>17.4</v>
      </c>
      <c r="N25" s="15" t="n">
        <v>108.4</v>
      </c>
      <c r="O25" s="15" t="n">
        <v>0.62</v>
      </c>
    </row>
    <row r="26">
      <c r="A26" s="7" t="inlineStr">
        <is>
          <t>STONE FRUIT SPECIES</t>
        </is>
      </c>
      <c r="B26" s="31" t="inlineStr">
        <is>
          <t>Priority 4</t>
        </is>
      </c>
      <c r="C26" s="20" t="n">
        <v>202</v>
      </c>
      <c r="D26" s="7" t="inlineStr">
        <is>
          <t>WESTERN REDBUD</t>
        </is>
      </c>
      <c r="E26" s="20" t="n">
        <v>202</v>
      </c>
      <c r="F26" s="20" t="n">
        <v>25</v>
      </c>
      <c r="G26" s="20" t="n">
        <v>25</v>
      </c>
      <c r="H26" s="24" t="n">
        <v>141400</v>
      </c>
      <c r="I26" s="24" t="n">
        <v>80800</v>
      </c>
      <c r="J26" s="24" t="n">
        <v>28280</v>
      </c>
      <c r="K26" s="24" t="n">
        <v>33330</v>
      </c>
      <c r="L26" s="24" t="n">
        <v>283810</v>
      </c>
      <c r="M26" s="21" t="n">
        <v>21.4</v>
      </c>
      <c r="N26" s="21" t="n">
        <v>715</v>
      </c>
      <c r="O26" s="21" t="n">
        <v>0.77</v>
      </c>
    </row>
    <row r="27">
      <c r="A27" s="5" t="inlineStr">
        <is>
          <t>TUSCARORA CRAPE MYRTLE</t>
        </is>
      </c>
      <c r="B27" s="31" t="inlineStr">
        <is>
          <t>Priority 4</t>
        </is>
      </c>
      <c r="C27" s="14" t="n">
        <v>831</v>
      </c>
      <c r="D27" s="5" t="inlineStr">
        <is>
          <t>CATALINA IRONWOOD</t>
        </is>
      </c>
      <c r="E27" s="14" t="n">
        <v>832</v>
      </c>
      <c r="F27" s="14" t="n">
        <v>5</v>
      </c>
      <c r="G27" s="14" t="n">
        <v>7</v>
      </c>
      <c r="H27" s="18" t="n">
        <v>582400</v>
      </c>
      <c r="I27" s="18" t="n">
        <v>332800</v>
      </c>
      <c r="J27" s="18" t="n">
        <v>116480</v>
      </c>
      <c r="K27" s="18" t="n">
        <v>137280</v>
      </c>
      <c r="L27" s="18" t="n">
        <v>1168960</v>
      </c>
      <c r="M27" s="15" t="n">
        <v>14.7</v>
      </c>
      <c r="N27" s="15" t="n">
        <v>655.8</v>
      </c>
      <c r="O27" s="15" t="n">
        <v>0.79</v>
      </c>
    </row>
    <row r="28">
      <c r="A28" s="7" t="inlineStr">
        <is>
          <t>WATER GUM TREE</t>
        </is>
      </c>
      <c r="B28" s="31" t="inlineStr">
        <is>
          <t>Priority 4</t>
        </is>
      </c>
      <c r="C28" s="20" t="n">
        <v>190</v>
      </c>
      <c r="D28" s="7" t="inlineStr">
        <is>
          <t>WESTERN REDBUD</t>
        </is>
      </c>
      <c r="E28" s="20" t="n">
        <v>190</v>
      </c>
      <c r="F28" s="20" t="n">
        <v>1</v>
      </c>
      <c r="G28" s="20" t="n">
        <v>2</v>
      </c>
      <c r="H28" s="24" t="n">
        <v>133000</v>
      </c>
      <c r="I28" s="24" t="n">
        <v>76000</v>
      </c>
      <c r="J28" s="24" t="n">
        <v>26600</v>
      </c>
      <c r="K28" s="24" t="n">
        <v>31350</v>
      </c>
      <c r="L28" s="24" t="n">
        <v>266950</v>
      </c>
      <c r="M28" s="21" t="n">
        <v>12.4</v>
      </c>
      <c r="N28" s="21" t="n">
        <v>310</v>
      </c>
      <c r="O28" s="21" t="n">
        <v>0.77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4" customWidth="1" min="3" max="3"/>
    <col width="30" customWidth="1" min="4" max="4"/>
  </cols>
  <sheetData>
    <row r="1" ht="18" customHeight="1">
      <c r="A1" s="3" t="inlineStr">
        <is>
          <t xml:space="preserve">  Budget &amp; Cost Assumptions  (update B-column to recalculate)</t>
        </is>
      </c>
    </row>
    <row r="2" ht="22" customHeight="1">
      <c r="A2" s="4" t="inlineStr">
        <is>
          <t>Parameter</t>
        </is>
      </c>
      <c r="B2" s="4" t="inlineStr">
        <is>
          <t>Value</t>
        </is>
      </c>
      <c r="C2" s="4" t="inlineStr">
        <is>
          <t>Unit</t>
        </is>
      </c>
      <c r="D2" s="4" t="inlineStr">
        <is>
          <t>Notes</t>
        </is>
      </c>
    </row>
    <row r="3">
      <c r="A3" s="5" t="inlineStr">
        <is>
          <t>Annual Urban Forestry Budget</t>
        </is>
      </c>
      <c r="B3" s="33" t="n">
        <v>917000</v>
      </c>
      <c r="C3" s="5" t="inlineStr">
        <is>
          <t>$</t>
        </is>
      </c>
      <c r="D3" s="5" t="inlineStr">
        <is>
          <t>Total allocated per year</t>
        </is>
      </c>
    </row>
    <row r="4">
      <c r="A4" s="7" t="inlineStr">
        <is>
          <t>Cost per Tree Removal</t>
        </is>
      </c>
      <c r="B4" s="33" t="n">
        <v>700</v>
      </c>
      <c r="C4" s="7" t="inlineStr">
        <is>
          <t>$/tree</t>
        </is>
      </c>
      <c r="D4" s="7" t="inlineStr">
        <is>
          <t>Includes stump grinding</t>
        </is>
      </c>
    </row>
    <row r="5">
      <c r="A5" s="5" t="inlineStr">
        <is>
          <t>Cost per New Tree Planting</t>
        </is>
      </c>
      <c r="B5" s="33" t="n">
        <v>400</v>
      </c>
      <c r="C5" s="5" t="inlineStr">
        <is>
          <t>$/tree</t>
        </is>
      </c>
      <c r="D5" s="5" t="inlineStr">
        <is>
          <t>Standard parkway planting</t>
        </is>
      </c>
    </row>
    <row r="6">
      <c r="A6" s="7" t="inlineStr">
        <is>
          <t>Cost per Large Tree Planting</t>
        </is>
      </c>
      <c r="B6" s="33" t="n">
        <v>900</v>
      </c>
      <c r="C6" s="7" t="inlineStr">
        <is>
          <t>$/tree</t>
        </is>
      </c>
      <c r="D6" s="7" t="inlineStr">
        <is>
          <t>Specimen / 36-inch box</t>
        </is>
      </c>
    </row>
    <row r="7">
      <c r="A7" s="5" t="inlineStr">
        <is>
          <t>Cost — Watering (first 3 yrs)</t>
        </is>
      </c>
      <c r="B7" s="33" t="n">
        <v>140</v>
      </c>
      <c r="C7" s="5" t="inlineStr">
        <is>
          <t>$/tree</t>
        </is>
      </c>
      <c r="D7" s="5" t="inlineStr">
        <is>
          <t>Establishment irrigation</t>
        </is>
      </c>
    </row>
    <row r="8">
      <c r="A8" s="7" t="inlineStr">
        <is>
          <t>Cost per Tree Maintenance (p.a.)</t>
        </is>
      </c>
      <c r="B8" s="33" t="n">
        <v>95</v>
      </c>
      <c r="C8" s="7" t="inlineStr">
        <is>
          <t>$/tree/yr</t>
        </is>
      </c>
      <c r="D8" s="7" t="inlineStr">
        <is>
          <t>Pruning, inspection</t>
        </is>
      </c>
    </row>
    <row r="9">
      <c r="A9" s="5" t="inlineStr">
        <is>
          <t>Replanting Overhead %</t>
        </is>
      </c>
      <c r="B9" s="34" t="n">
        <v>0.15</v>
      </c>
      <c r="C9" s="5" t="inlineStr">
        <is>
          <t>%</t>
        </is>
      </c>
      <c r="D9" s="5" t="inlineStr">
        <is>
          <t>Admin, permits, site prep</t>
        </is>
      </c>
    </row>
    <row r="10">
      <c r="A10" s="7" t="inlineStr">
        <is>
          <t>Replacement Rate</t>
        </is>
      </c>
      <c r="B10" s="34" t="n">
        <v>0.6</v>
      </c>
      <c r="C10" s="7" t="inlineStr">
        <is>
          <t>%</t>
        </is>
      </c>
      <c r="D10" s="7" t="inlineStr">
        <is>
          <t>Fraction of at-risk trees replaced</t>
        </is>
      </c>
    </row>
    <row r="11">
      <c r="A11" s="5" t="inlineStr">
        <is>
          <t>Simulation Horizon</t>
        </is>
      </c>
      <c r="B11" s="35" t="n">
        <v>25</v>
      </c>
      <c r="C11" s="5" t="inlineStr">
        <is>
          <t>years</t>
        </is>
      </c>
      <c r="D11" s="5" t="inlineStr"/>
    </row>
    <row r="12">
      <c r="A12" s="7" t="inlineStr">
        <is>
          <t>Max Swap Actions per Year</t>
        </is>
      </c>
      <c r="B12" s="35" t="n">
        <v>5</v>
      </c>
      <c r="C12" s="7" t="inlineStr">
        <is>
          <t>—</t>
        </is>
      </c>
      <c r="D12" s="7" t="inlineStr">
        <is>
          <t>RL scheduler cap</t>
        </is>
      </c>
    </row>
    <row r="13">
      <c r="A13" s="5" t="inlineStr">
        <is>
          <t>Climate Temp (Current)</t>
        </is>
      </c>
      <c r="B13" s="35" t="n">
        <v>76</v>
      </c>
      <c r="C13" s="5" t="inlineStr">
        <is>
          <t>°F</t>
        </is>
      </c>
      <c r="D13" s="5" t="inlineStr">
        <is>
          <t>Baseline for scoring</t>
        </is>
      </c>
    </row>
    <row r="14">
      <c r="A14" s="7" t="inlineStr">
        <is>
          <t>Climate Temp (2050 Projection)</t>
        </is>
      </c>
      <c r="B14" s="35" t="n">
        <v>80.40000000000001</v>
      </c>
      <c r="C14" s="7" t="inlineStr">
        <is>
          <t>°F</t>
        </is>
      </c>
      <c r="D14" s="7" t="inlineStr">
        <is>
          <t>Used in resilience scoring</t>
        </is>
      </c>
    </row>
    <row r="15">
      <c r="A15" s="5" t="inlineStr">
        <is>
          <t>Climate Rainfall (Current)</t>
        </is>
      </c>
      <c r="B15" s="35" t="n">
        <v>15.5</v>
      </c>
      <c r="C15" s="5" t="inlineStr">
        <is>
          <t>in/yr</t>
        </is>
      </c>
      <c r="D15" s="5" t="inlineStr"/>
    </row>
    <row r="16">
      <c r="A16" s="7" t="inlineStr">
        <is>
          <t>Climate Rainfall (2050)</t>
        </is>
      </c>
      <c r="B16" s="35" t="n">
        <v>13.2</v>
      </c>
      <c r="C16" s="7" t="inlineStr">
        <is>
          <t>in/yr</t>
        </is>
      </c>
      <c r="D16" s="7" t="inlineStr"/>
    </row>
    <row r="19" ht="30" customHeight="1">
      <c r="A19" s="36" t="inlineStr">
        <is>
          <t>ℹ  Blue cells = hardcoded inputs from CITY_BUDGET. All cost totals on other sheets are derived from these values. Source: city-supplied budget parameters, STARS scoring model (Anthropic/GNN pipeline).</t>
        </is>
      </c>
    </row>
  </sheetData>
  <mergeCells count="2">
    <mergeCell ref="A1:D1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1" customWidth="1" min="4" max="4"/>
    <col width="23" customWidth="1" min="5" max="5"/>
    <col width="19" customWidth="1" min="6" max="6"/>
    <col width="21" customWidth="1" min="7" max="7"/>
    <col width="23" customWidth="1" min="8" max="8"/>
    <col width="22" customWidth="1" min="9" max="9"/>
    <col width="21" customWidth="1" min="10" max="10"/>
  </cols>
  <sheetData>
    <row r="1" ht="18" customHeight="1">
      <c r="A1" s="3" t="inlineStr">
        <is>
          <t xml:space="preserve">  Cupertino  ·  Cumulative Performance Metrics (chart-ready)</t>
        </is>
      </c>
    </row>
    <row r="2" ht="22" customHeight="1">
      <c r="A2" s="13" t="inlineStr">
        <is>
          <t>Year</t>
        </is>
      </c>
      <c r="B2" s="13" t="inlineStr">
        <is>
          <t>STARS Score</t>
        </is>
      </c>
      <c r="C2" s="13" t="inlineStr">
        <is>
          <t>Cumul. STARS Gain</t>
        </is>
      </c>
      <c r="D2" s="13" t="inlineStr">
        <is>
          <t>Trees Replaced (yr)</t>
        </is>
      </c>
      <c r="E2" s="13" t="inlineStr">
        <is>
          <t>Cumul. Trees Replaced</t>
        </is>
      </c>
      <c r="F2" s="13" t="inlineStr">
        <is>
          <t>Annual Cost ($)</t>
        </is>
      </c>
      <c r="G2" s="13" t="inlineStr">
        <is>
          <t>Cumulative Cost ($)</t>
        </is>
      </c>
      <c r="H2" s="13" t="inlineStr">
        <is>
          <t>Avg CO₂ (lbs/tree/yr)</t>
        </is>
      </c>
      <c r="I2" s="13" t="inlineStr">
        <is>
          <t>Avg AQ (lbs/tree/yr)</t>
        </is>
      </c>
      <c r="J2" s="13" t="inlineStr">
        <is>
          <t>% Swaps Done</t>
        </is>
      </c>
    </row>
    <row r="3">
      <c r="A3" s="14" t="n">
        <v>1</v>
      </c>
      <c r="B3" s="15" t="n">
        <v>44.24350702576115</v>
      </c>
      <c r="C3" s="15" t="n">
        <v>1.60202617645264</v>
      </c>
      <c r="D3" s="14" t="n">
        <v>131</v>
      </c>
      <c r="E3" s="14" t="n">
        <v>131</v>
      </c>
      <c r="F3" s="18" t="n">
        <v>1549973.434998834</v>
      </c>
      <c r="G3" s="18" t="n">
        <v>1549973.434998834</v>
      </c>
      <c r="H3" s="15" t="n">
        <v>355.1794607728338</v>
      </c>
      <c r="I3" s="15" t="n">
        <v>31.38301112412179</v>
      </c>
      <c r="J3" s="17" t="n">
        <v>0.07672065496444702</v>
      </c>
    </row>
    <row r="4">
      <c r="A4" s="20" t="n">
        <v>2</v>
      </c>
      <c r="B4" s="21" t="n">
        <v>45.05615339578453</v>
      </c>
      <c r="C4" s="21" t="n">
        <v>2.414672546476027</v>
      </c>
      <c r="D4" s="20" t="n">
        <v>286</v>
      </c>
      <c r="E4" s="20" t="n">
        <v>417</v>
      </c>
      <c r="F4" s="24" t="n">
        <v>1767748.434998834</v>
      </c>
      <c r="G4" s="24" t="n">
        <v>3317721.869997668</v>
      </c>
      <c r="H4" s="21" t="n">
        <v>339.0450132531403</v>
      </c>
      <c r="I4" s="21" t="n">
        <v>30.75556807536725</v>
      </c>
      <c r="J4" s="23" t="n">
        <v>0.1153846383094788</v>
      </c>
    </row>
    <row r="5">
      <c r="A5" s="14" t="n">
        <v>3</v>
      </c>
      <c r="B5" s="15" t="n">
        <v>46.20858307740873</v>
      </c>
      <c r="C5" s="15" t="n">
        <v>3.567102228100218</v>
      </c>
      <c r="D5" s="14" t="n">
        <v>370</v>
      </c>
      <c r="E5" s="14" t="n">
        <v>787</v>
      </c>
      <c r="F5" s="18" t="n">
        <v>1885768.434998834</v>
      </c>
      <c r="G5" s="18" t="n">
        <v>5203490.304996502</v>
      </c>
      <c r="H5" s="15" t="n">
        <v>341.4075075439591</v>
      </c>
      <c r="I5" s="15" t="n">
        <v>30.5616645622802</v>
      </c>
      <c r="J5" s="17" t="n">
        <v>0.1667263507843018</v>
      </c>
    </row>
    <row r="6">
      <c r="A6" s="20" t="n">
        <v>4</v>
      </c>
      <c r="B6" s="21" t="n">
        <v>47.5325850450084</v>
      </c>
      <c r="C6" s="21" t="n">
        <v>4.891104195699896</v>
      </c>
      <c r="D6" s="20" t="n">
        <v>415</v>
      </c>
      <c r="E6" s="20" t="n">
        <v>1202</v>
      </c>
      <c r="F6" s="24" t="n">
        <v>1948993.434998834</v>
      </c>
      <c r="G6" s="24" t="n">
        <v>7152483.739995336</v>
      </c>
      <c r="H6" s="21" t="n">
        <v>367.8119588151776</v>
      </c>
      <c r="I6" s="21" t="n">
        <v>31.08601317497734</v>
      </c>
      <c r="J6" s="23" t="n">
        <v>0.2092011570930481</v>
      </c>
    </row>
    <row r="7">
      <c r="A7" s="14" t="n">
        <v>5</v>
      </c>
      <c r="B7" s="15" t="n">
        <v>48.49595867618608</v>
      </c>
      <c r="C7" s="15" t="n">
        <v>5.85447782687757</v>
      </c>
      <c r="D7" s="14" t="n">
        <v>421</v>
      </c>
      <c r="E7" s="14" t="n">
        <v>1623</v>
      </c>
      <c r="F7" s="18" t="n">
        <v>1957423.434998834</v>
      </c>
      <c r="G7" s="18" t="n">
        <v>9109907.174994171</v>
      </c>
      <c r="H7" s="15" t="n">
        <v>384.7546607303113</v>
      </c>
      <c r="I7" s="15" t="n">
        <v>30.87796904228783</v>
      </c>
      <c r="J7" s="17" t="n">
        <v>0.2379420399665833</v>
      </c>
    </row>
    <row r="8">
      <c r="A8" s="20" t="n">
        <v>6</v>
      </c>
      <c r="B8" s="21" t="n">
        <v>48.86197695740302</v>
      </c>
      <c r="C8" s="21" t="n">
        <v>6.220496108094508</v>
      </c>
      <c r="D8" s="20" t="n">
        <v>87</v>
      </c>
      <c r="E8" s="20" t="n">
        <v>1710</v>
      </c>
      <c r="F8" s="24" t="n">
        <v>1488153.434998834</v>
      </c>
      <c r="G8" s="24" t="n">
        <v>10598060.60999301</v>
      </c>
      <c r="H8" s="21" t="n">
        <v>384.6299731839625</v>
      </c>
      <c r="I8" s="21" t="n">
        <v>28.77316281634468</v>
      </c>
      <c r="J8" s="23" t="n">
        <v>0.2632211446762085</v>
      </c>
    </row>
    <row r="9">
      <c r="A9" s="14" t="n">
        <v>7</v>
      </c>
      <c r="B9" s="15" t="n">
        <v>49.81546267924682</v>
      </c>
      <c r="C9" s="15" t="n">
        <v>7.173981829938313</v>
      </c>
      <c r="D9" s="14" t="n">
        <v>652</v>
      </c>
      <c r="E9" s="14" t="n">
        <v>2362</v>
      </c>
      <c r="F9" s="18" t="n">
        <v>2281978.434998834</v>
      </c>
      <c r="G9" s="18" t="n">
        <v>12880039.04499184</v>
      </c>
      <c r="H9" s="15" t="n">
        <v>385.0385546745845</v>
      </c>
      <c r="I9" s="15" t="n">
        <v>28.57629730967074</v>
      </c>
      <c r="J9" s="17" t="n">
        <v>0.3075891733169556</v>
      </c>
    </row>
    <row r="10">
      <c r="A10" s="20" t="n">
        <v>8</v>
      </c>
      <c r="B10" s="21" t="n">
        <v>50.43006306336141</v>
      </c>
      <c r="C10" s="21" t="n">
        <v>7.788582214052902</v>
      </c>
      <c r="D10" s="20" t="n">
        <v>807</v>
      </c>
      <c r="E10" s="20" t="n">
        <v>3169</v>
      </c>
      <c r="F10" s="24" t="n">
        <v>2499753.434998834</v>
      </c>
      <c r="G10" s="24" t="n">
        <v>15379792.47999067</v>
      </c>
      <c r="H10" s="21" t="n">
        <v>392.4276563633022</v>
      </c>
      <c r="I10" s="21" t="n">
        <v>28.94839397466712</v>
      </c>
      <c r="J10" s="23" t="n">
        <v>0.3461538553237915</v>
      </c>
    </row>
    <row r="11">
      <c r="A11" s="14" t="n">
        <v>9</v>
      </c>
      <c r="B11" s="15" t="n">
        <v>52.57267370975297</v>
      </c>
      <c r="C11" s="15" t="n">
        <v>9.931192860444462</v>
      </c>
      <c r="D11" s="14" t="n">
        <v>250</v>
      </c>
      <c r="E11" s="14" t="n">
        <v>3419</v>
      </c>
      <c r="F11" s="18" t="n">
        <v>1717168.434998834</v>
      </c>
      <c r="G11" s="18" t="n">
        <v>17096960.91498951</v>
      </c>
      <c r="H11" s="15" t="n">
        <v>390.7801343905427</v>
      </c>
      <c r="I11" s="15" t="n">
        <v>27.60582998322915</v>
      </c>
      <c r="J11" s="17" t="n">
        <v>0.3739245533943176</v>
      </c>
    </row>
    <row r="12">
      <c r="A12" s="20" t="n">
        <v>10</v>
      </c>
      <c r="B12" s="21" t="n">
        <v>54.27962226741829</v>
      </c>
      <c r="C12" s="21" t="n">
        <v>11.63814141810978</v>
      </c>
      <c r="D12" s="20" t="n">
        <v>321</v>
      </c>
      <c r="E12" s="20" t="n">
        <v>3740</v>
      </c>
      <c r="F12" s="24" t="n">
        <v>1816923.434998834</v>
      </c>
      <c r="G12" s="24" t="n">
        <v>18913884.34998834</v>
      </c>
      <c r="H12" s="21" t="n">
        <v>373.5286445410864</v>
      </c>
      <c r="I12" s="21" t="n">
        <v>26.1064193639233</v>
      </c>
      <c r="J12" s="23" t="n">
        <v>0.4212497472763062</v>
      </c>
    </row>
    <row r="13">
      <c r="A13" s="14" t="n">
        <v>11</v>
      </c>
      <c r="B13" s="15" t="n">
        <v>54.95392305104998</v>
      </c>
      <c r="C13" s="15" t="n">
        <v>12.31244220174148</v>
      </c>
      <c r="D13" s="14" t="n">
        <v>701</v>
      </c>
      <c r="E13" s="14" t="n">
        <v>4441</v>
      </c>
      <c r="F13" s="18" t="n">
        <v>2350823.434998834</v>
      </c>
      <c r="G13" s="18" t="n">
        <v>21264707.78498717</v>
      </c>
      <c r="H13" s="15" t="n">
        <v>367.2800782152897</v>
      </c>
      <c r="I13" s="15" t="n">
        <v>25.43178931846437</v>
      </c>
      <c r="J13" s="17" t="n">
        <v>0.4615384340286255</v>
      </c>
    </row>
    <row r="14">
      <c r="A14" s="20" t="n">
        <v>12</v>
      </c>
      <c r="B14" s="21" t="n">
        <v>55.62102685268414</v>
      </c>
      <c r="C14" s="21" t="n">
        <v>12.97954600337563</v>
      </c>
      <c r="D14" s="20" t="n">
        <v>440</v>
      </c>
      <c r="E14" s="20" t="n">
        <v>4881</v>
      </c>
      <c r="F14" s="24" t="n">
        <v>1984118.434998834</v>
      </c>
      <c r="G14" s="24" t="n">
        <v>23248826.21998601</v>
      </c>
      <c r="H14" s="21" t="n">
        <v>371.3743279517781</v>
      </c>
      <c r="I14" s="21" t="n">
        <v>24.94422258478275</v>
      </c>
      <c r="J14" s="23" t="n">
        <v>0.5</v>
      </c>
    </row>
    <row r="15">
      <c r="A15" s="14" t="n">
        <v>13</v>
      </c>
      <c r="B15" s="15" t="n">
        <v>56.13766209494722</v>
      </c>
      <c r="C15" s="15" t="n">
        <v>13.49618124563872</v>
      </c>
      <c r="D15" s="14" t="n">
        <v>281</v>
      </c>
      <c r="E15" s="14" t="n">
        <v>5162</v>
      </c>
      <c r="F15" s="18" t="n">
        <v>1760723.434998834</v>
      </c>
      <c r="G15" s="18" t="n">
        <v>25009549.65498484</v>
      </c>
      <c r="H15" s="15" t="n">
        <v>380.7857794952196</v>
      </c>
      <c r="I15" s="15" t="n">
        <v>25.2751800085992</v>
      </c>
      <c r="J15" s="17" t="n">
        <v>0.553113579750061</v>
      </c>
    </row>
    <row r="16">
      <c r="A16" s="20" t="n">
        <v>14</v>
      </c>
      <c r="B16" s="21" t="n">
        <v>57.53015513808282</v>
      </c>
      <c r="C16" s="21" t="n">
        <v>14.88867428877431</v>
      </c>
      <c r="D16" s="20" t="n">
        <v>295</v>
      </c>
      <c r="E16" s="20" t="n">
        <v>5457</v>
      </c>
      <c r="F16" s="24" t="n">
        <v>1780393.434998834</v>
      </c>
      <c r="G16" s="24" t="n">
        <v>26789943.08998367</v>
      </c>
      <c r="H16" s="21" t="n">
        <v>396.406289577692</v>
      </c>
      <c r="I16" s="21" t="n">
        <v>25.84937445596725</v>
      </c>
      <c r="J16" s="23" t="n">
        <v>0.5971360206604004</v>
      </c>
    </row>
    <row r="17">
      <c r="A17" s="14" t="n">
        <v>15</v>
      </c>
      <c r="B17" s="15" t="n">
        <v>58.77385658091405</v>
      </c>
      <c r="C17" s="15" t="n">
        <v>16.13237573160554</v>
      </c>
      <c r="D17" s="14" t="n">
        <v>226</v>
      </c>
      <c r="E17" s="14" t="n">
        <v>5683</v>
      </c>
      <c r="F17" s="18" t="n">
        <v>1683448.434998834</v>
      </c>
      <c r="G17" s="18" t="n">
        <v>28473391.5249825</v>
      </c>
      <c r="H17" s="15" t="n">
        <v>410.3919895606125</v>
      </c>
      <c r="I17" s="15" t="n">
        <v>26.40943618850336</v>
      </c>
      <c r="J17" s="17" t="n">
        <v>0.615384578704834</v>
      </c>
    </row>
    <row r="18">
      <c r="A18" s="20" t="n">
        <v>16</v>
      </c>
      <c r="B18" s="21" t="n">
        <v>58.77385658091402</v>
      </c>
      <c r="C18" s="21" t="n">
        <v>16.13237573160551</v>
      </c>
      <c r="D18" s="20" t="n">
        <v>0</v>
      </c>
      <c r="E18" s="20" t="n">
        <v>5683</v>
      </c>
      <c r="F18" s="24" t="n">
        <v>1365918.434998834</v>
      </c>
      <c r="G18" s="24" t="n">
        <v>29839309.95998134</v>
      </c>
      <c r="H18" s="21" t="n">
        <v>410.3919895606124</v>
      </c>
      <c r="I18" s="21" t="n">
        <v>26.40943618850334</v>
      </c>
      <c r="J18" s="23" t="n">
        <v>0.615384578704834</v>
      </c>
    </row>
    <row r="19">
      <c r="A19" s="14" t="n">
        <v>17</v>
      </c>
      <c r="B19" s="15" t="n">
        <v>58.77385658091406</v>
      </c>
      <c r="C19" s="15" t="n">
        <v>16.13237573160555</v>
      </c>
      <c r="D19" s="14" t="n">
        <v>0</v>
      </c>
      <c r="E19" s="14" t="n">
        <v>5683</v>
      </c>
      <c r="F19" s="18" t="n">
        <v>1365918.434998834</v>
      </c>
      <c r="G19" s="18" t="n">
        <v>31205228.39498017</v>
      </c>
      <c r="H19" s="15" t="n">
        <v>410.3919895606123</v>
      </c>
      <c r="I19" s="15" t="n">
        <v>26.40943618850336</v>
      </c>
      <c r="J19" s="17" t="n">
        <v>0.615384578704834</v>
      </c>
    </row>
    <row r="20">
      <c r="A20" s="20" t="n">
        <v>18</v>
      </c>
      <c r="B20" s="21" t="n">
        <v>58.77385658091403</v>
      </c>
      <c r="C20" s="21" t="n">
        <v>16.13237573160552</v>
      </c>
      <c r="D20" s="20" t="n">
        <v>0</v>
      </c>
      <c r="E20" s="20" t="n">
        <v>5683</v>
      </c>
      <c r="F20" s="24" t="n">
        <v>1365918.434998834</v>
      </c>
      <c r="G20" s="24" t="n">
        <v>32571146.829979</v>
      </c>
      <c r="H20" s="21" t="n">
        <v>410.3919895606124</v>
      </c>
      <c r="I20" s="21" t="n">
        <v>26.40943618850334</v>
      </c>
      <c r="J20" s="23" t="n">
        <v>0.615384578704834</v>
      </c>
    </row>
    <row r="21">
      <c r="A21" s="14" t="n">
        <v>19</v>
      </c>
      <c r="B21" s="15" t="n">
        <v>60.27394696700306</v>
      </c>
      <c r="C21" s="15" t="n">
        <v>17.63246611769456</v>
      </c>
      <c r="D21" s="14" t="n">
        <v>223</v>
      </c>
      <c r="E21" s="14" t="n">
        <v>5906</v>
      </c>
      <c r="F21" s="18" t="n">
        <v>1679233.434998834</v>
      </c>
      <c r="G21" s="18" t="n">
        <v>34250380.26497784</v>
      </c>
      <c r="H21" s="15" t="n">
        <v>408.270184434566</v>
      </c>
      <c r="I21" s="15" t="n">
        <v>26.90188698931551</v>
      </c>
      <c r="J21" s="17" t="n">
        <v>0.6795410513877869</v>
      </c>
    </row>
    <row r="22">
      <c r="A22" s="20" t="n">
        <v>20</v>
      </c>
      <c r="B22" s="21" t="n">
        <v>62.09672496759096</v>
      </c>
      <c r="C22" s="21" t="n">
        <v>19.45524411828245</v>
      </c>
      <c r="D22" s="20" t="n">
        <v>22</v>
      </c>
      <c r="E22" s="20" t="n">
        <v>5928</v>
      </c>
      <c r="F22" s="24" t="n">
        <v>1396828.434998834</v>
      </c>
      <c r="G22" s="24" t="n">
        <v>35647208.69997667</v>
      </c>
      <c r="H22" s="21" t="n">
        <v>409.6218089447117</v>
      </c>
      <c r="I22" s="21" t="n">
        <v>27.5323783046577</v>
      </c>
      <c r="J22" s="23" t="n">
        <v>0.7434030175209045</v>
      </c>
    </row>
    <row r="23">
      <c r="A23" s="14" t="n">
        <v>21</v>
      </c>
      <c r="B23" s="15" t="n">
        <v>63.3886873667746</v>
      </c>
      <c r="C23" s="15" t="n">
        <v>20.74720651746609</v>
      </c>
      <c r="D23" s="14" t="n">
        <v>1044</v>
      </c>
      <c r="E23" s="14" t="n">
        <v>6972</v>
      </c>
      <c r="F23" s="18" t="n">
        <v>2832738.434998834</v>
      </c>
      <c r="G23" s="18" t="n">
        <v>38479947.1349755</v>
      </c>
      <c r="H23" s="15" t="n">
        <v>422.6334949278669</v>
      </c>
      <c r="I23" s="15" t="n">
        <v>27.21081892069323</v>
      </c>
      <c r="J23" s="17" t="n">
        <v>0.7823886871337891</v>
      </c>
    </row>
    <row r="24">
      <c r="A24" s="20" t="n">
        <v>22</v>
      </c>
      <c r="B24" s="21" t="n">
        <v>64.0242706098003</v>
      </c>
      <c r="C24" s="21" t="n">
        <v>21.38278976049179</v>
      </c>
      <c r="D24" s="20" t="n">
        <v>318</v>
      </c>
      <c r="E24" s="20" t="n">
        <v>7290</v>
      </c>
      <c r="F24" s="24" t="n">
        <v>1812708.434998834</v>
      </c>
      <c r="G24" s="24" t="n">
        <v>40292655.56997433</v>
      </c>
      <c r="H24" s="21" t="n">
        <v>430.070888663351</v>
      </c>
      <c r="I24" s="21" t="n">
        <v>26.72252899727364</v>
      </c>
      <c r="J24" s="23" t="n">
        <v>0.8464456796646118</v>
      </c>
    </row>
    <row r="25">
      <c r="A25" s="14" t="n">
        <v>23</v>
      </c>
      <c r="B25" s="15" t="n">
        <v>64.8833097396428</v>
      </c>
      <c r="C25" s="15" t="n">
        <v>22.24182889033429</v>
      </c>
      <c r="D25" s="14" t="n">
        <v>546</v>
      </c>
      <c r="E25" s="14" t="n">
        <v>7836</v>
      </c>
      <c r="F25" s="18" t="n">
        <v>2133048.434998834</v>
      </c>
      <c r="G25" s="18" t="n">
        <v>42425704.00497317</v>
      </c>
      <c r="H25" s="15" t="n">
        <v>445.5529245952173</v>
      </c>
      <c r="I25" s="15" t="n">
        <v>26.25356104041054</v>
      </c>
      <c r="J25" s="17" t="n">
        <v>0.9104477763175964</v>
      </c>
    </row>
    <row r="26">
      <c r="A26" s="20" t="n">
        <v>24</v>
      </c>
      <c r="B26" s="21" t="n">
        <v>65.33258455003671</v>
      </c>
      <c r="C26" s="21" t="n">
        <v>22.69110370072821</v>
      </c>
      <c r="D26" s="20" t="n">
        <v>494</v>
      </c>
      <c r="E26" s="20" t="n">
        <v>8330</v>
      </c>
      <c r="F26" s="24" t="n">
        <v>2059988.434998834</v>
      </c>
      <c r="G26" s="24" t="n">
        <v>44485692.439972</v>
      </c>
      <c r="H26" s="21" t="n">
        <v>453.1340526600354</v>
      </c>
      <c r="I26" s="21" t="n">
        <v>26.96425229276102</v>
      </c>
      <c r="J26" s="23" t="n">
        <v>0.9615384340286255</v>
      </c>
    </row>
    <row r="27">
      <c r="A27" s="14" t="n">
        <v>25</v>
      </c>
      <c r="B27" s="15" t="n">
        <v>65.3325845500367</v>
      </c>
      <c r="C27" s="15" t="n">
        <v>22.69110370072819</v>
      </c>
      <c r="D27" s="14" t="n">
        <v>1321</v>
      </c>
      <c r="E27" s="14" t="n">
        <v>9651</v>
      </c>
      <c r="F27" s="18" t="n">
        <v>3221923.434998834</v>
      </c>
      <c r="G27" s="18" t="n">
        <v>47707615.87497083</v>
      </c>
      <c r="H27" s="15" t="n">
        <v>453.1340526600354</v>
      </c>
      <c r="I27" s="15" t="n">
        <v>26.96425229276103</v>
      </c>
      <c r="J27" s="17" t="n">
        <v>0.9615384340286255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2026-08-01T18:48:10Z</dcterms:created>
  <dcterms:modified xmlns:dcterms="http://purl.org/dc/terms/" xmlns:xsi="http://www.w3.org/2001/XMLSchema-instance" xsi:type="dcterms:W3CDTF">2026-08-01T18:48:10Z</dcterms:modified>
</cp:coreProperties>
</file>